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 defaultThemeVersion="166925"/>
  <xr:revisionPtr revIDLastSave="1382" documentId="11_B5C135A2ACD2DE766DAA72E09FF71AC21A0A3F4F" xr6:coauthVersionLast="47" xr6:coauthVersionMax="47" xr10:uidLastSave="{0A05D270-C662-40D1-964E-33A0EA11BB23}"/>
  <bookViews>
    <workbookView xWindow="-120" yWindow="-120" windowWidth="20736" windowHeight="11280" tabRatio="820" firstSheet="20" activeTab="17" xr2:uid="{00000000-000D-0000-FFFF-FFFF00000000}"/>
  </bookViews>
  <sheets>
    <sheet name="Mapa empatía" sheetId="1" r:id="rId1"/>
    <sheet name="Accesibilidad" sheetId="2" r:id="rId2"/>
    <sheet name="Capacidad de ser administrado" sheetId="3" r:id="rId3"/>
    <sheet name="Confiabilidad" sheetId="6" r:id="rId4"/>
    <sheet name="Conformidad" sheetId="7" r:id="rId5"/>
    <sheet name="Disponibilidad" sheetId="8" r:id="rId6"/>
    <sheet name="Escalabilidad" sheetId="9" r:id="rId7"/>
    <sheet name="Experiencia de usuario" sheetId="10" r:id="rId8"/>
    <sheet name="Interoperabilidad" sheetId="13" r:id="rId9"/>
    <sheet name="Rendimiento" sheetId="15" r:id="rId10"/>
    <sheet name="Seguridad" sheetId="16" r:id="rId11"/>
    <sheet name="ESC-CAL-ACCESIBILIDAD" sheetId="17" r:id="rId12"/>
    <sheet name="ESC-CAL-CAPADMINISTRADO" sheetId="18" r:id="rId13"/>
    <sheet name="ESC-CAL-CONFIABILIDAD" sheetId="19" r:id="rId14"/>
    <sheet name="ESC-CAL-CONFORMIDAD" sheetId="20" r:id="rId15"/>
    <sheet name="ESC-CAL-DISPONIBILIDAD" sheetId="21" r:id="rId16"/>
    <sheet name="ESC-CAL-ESCALABILIDAD" sheetId="22" r:id="rId17"/>
    <sheet name="ESC-CAL-EXPERIENCIA DE USUARIO" sheetId="23" r:id="rId18"/>
    <sheet name="ESC-CAL-INTEROPERABILIDAD" sheetId="24" r:id="rId19"/>
    <sheet name="ESC-CAL-RENDIMIENTO" sheetId="25" r:id="rId20"/>
    <sheet name="ESC-CAL-SEGURIDAD" sheetId="26" r:id="rId21"/>
  </sheets>
  <definedNames>
    <definedName name="_xlnm._FilterDatabase" localSheetId="0" hidden="1">'Mapa empatía'!$A$1:$E$16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26" l="1"/>
  <c r="D114" i="26"/>
  <c r="D124" i="26"/>
  <c r="D113" i="26"/>
  <c r="D103" i="26"/>
  <c r="D92" i="26"/>
  <c r="D102" i="26"/>
  <c r="D91" i="26"/>
  <c r="D81" i="26"/>
  <c r="D70" i="26"/>
  <c r="D80" i="26"/>
  <c r="D69" i="26"/>
  <c r="D59" i="26"/>
  <c r="D48" i="26"/>
  <c r="D37" i="26"/>
  <c r="D26" i="26"/>
  <c r="D15" i="26"/>
  <c r="D58" i="26"/>
  <c r="D47" i="26"/>
  <c r="D102" i="25"/>
  <c r="D91" i="25"/>
  <c r="D101" i="25"/>
  <c r="D90" i="25"/>
  <c r="D80" i="25"/>
  <c r="D79" i="25"/>
  <c r="D69" i="25"/>
  <c r="D68" i="25"/>
  <c r="D58" i="25"/>
  <c r="D47" i="25"/>
  <c r="D36" i="25"/>
  <c r="D25" i="25"/>
  <c r="D14" i="25"/>
  <c r="D57" i="25"/>
  <c r="D46" i="25"/>
  <c r="D35" i="25"/>
  <c r="D24" i="25"/>
  <c r="D59" i="24"/>
  <c r="D48" i="24"/>
  <c r="D58" i="24"/>
  <c r="D47" i="24"/>
  <c r="D37" i="24"/>
  <c r="D26" i="24"/>
  <c r="D36" i="24"/>
  <c r="D25" i="24"/>
  <c r="D15" i="24"/>
  <c r="D14" i="24"/>
  <c r="D213" i="23"/>
  <c r="D202" i="23"/>
  <c r="D212" i="23"/>
  <c r="D201" i="23"/>
  <c r="D191" i="23"/>
  <c r="D180" i="23"/>
  <c r="D190" i="23"/>
  <c r="D179" i="23"/>
  <c r="D169" i="23"/>
  <c r="D158" i="23"/>
  <c r="D168" i="23"/>
  <c r="D157" i="23"/>
  <c r="D147" i="23"/>
  <c r="D136" i="23"/>
  <c r="D146" i="23"/>
  <c r="D135" i="23"/>
  <c r="D125" i="23"/>
  <c r="D114" i="23"/>
  <c r="D124" i="23"/>
  <c r="D113" i="23"/>
  <c r="D103" i="23"/>
  <c r="D92" i="23"/>
  <c r="D102" i="23"/>
  <c r="D91" i="23"/>
  <c r="D81" i="23"/>
  <c r="D70" i="23"/>
  <c r="D80" i="23"/>
  <c r="D69" i="23"/>
  <c r="D59" i="23"/>
  <c r="D48" i="23"/>
  <c r="D58" i="23"/>
  <c r="D47" i="23"/>
  <c r="D37" i="23"/>
  <c r="D26" i="23"/>
  <c r="D15" i="23"/>
  <c r="D4" i="23"/>
  <c r="D36" i="23"/>
  <c r="D25" i="23"/>
  <c r="D81" i="22"/>
  <c r="D70" i="22"/>
  <c r="D80" i="22"/>
  <c r="D69" i="22"/>
  <c r="D59" i="22"/>
  <c r="D48" i="22"/>
  <c r="D58" i="22"/>
  <c r="D47" i="22"/>
  <c r="D37" i="22"/>
  <c r="D36" i="22"/>
  <c r="D26" i="22"/>
  <c r="D15" i="22"/>
  <c r="D4" i="22"/>
  <c r="D25" i="22"/>
  <c r="D14" i="22"/>
  <c r="D103" i="21"/>
  <c r="D92" i="21"/>
  <c r="D102" i="21"/>
  <c r="D91" i="21"/>
  <c r="D81" i="21"/>
  <c r="D70" i="21"/>
  <c r="D80" i="21"/>
  <c r="D69" i="21"/>
  <c r="D59" i="21"/>
  <c r="D48" i="21"/>
  <c r="D58" i="21"/>
  <c r="D47" i="21"/>
  <c r="D37" i="21"/>
  <c r="D26" i="21"/>
  <c r="D36" i="21"/>
  <c r="D25" i="21"/>
  <c r="D15" i="21"/>
  <c r="D70" i="20"/>
  <c r="D81" i="20"/>
  <c r="D80" i="20"/>
  <c r="D69" i="20"/>
  <c r="D59" i="20"/>
  <c r="D48" i="20"/>
  <c r="D58" i="20"/>
  <c r="D47" i="20"/>
  <c r="D37" i="20"/>
  <c r="D26" i="20"/>
  <c r="D36" i="20"/>
  <c r="D25" i="20"/>
  <c r="D15" i="20"/>
  <c r="D14" i="20"/>
  <c r="D103" i="19"/>
  <c r="D92" i="19"/>
  <c r="D102" i="19"/>
  <c r="D91" i="19"/>
  <c r="D81" i="19"/>
  <c r="D70" i="19"/>
  <c r="D80" i="19"/>
  <c r="D69" i="19"/>
  <c r="D59" i="19"/>
  <c r="D48" i="19"/>
  <c r="D58" i="19"/>
  <c r="D47" i="19"/>
  <c r="D37" i="19"/>
  <c r="D26" i="19"/>
  <c r="D15" i="19"/>
  <c r="D36" i="19"/>
  <c r="D25" i="19"/>
  <c r="D104" i="18"/>
  <c r="D93" i="18"/>
  <c r="D103" i="18"/>
  <c r="D92" i="18"/>
  <c r="D82" i="18"/>
  <c r="D71" i="18"/>
  <c r="D81" i="18"/>
  <c r="D70" i="18"/>
  <c r="D60" i="18"/>
  <c r="D49" i="18"/>
  <c r="D59" i="18"/>
  <c r="D48" i="18"/>
  <c r="D37" i="18"/>
  <c r="D26" i="18"/>
  <c r="D36" i="18"/>
  <c r="D25" i="18"/>
  <c r="D59" i="17"/>
  <c r="D48" i="17"/>
  <c r="D58" i="17"/>
  <c r="D47" i="17"/>
  <c r="D37" i="17"/>
  <c r="D26" i="17"/>
  <c r="D36" i="17"/>
  <c r="D25" i="17"/>
  <c r="D3" i="17"/>
  <c r="D36" i="26"/>
  <c r="D25" i="26"/>
  <c r="D14" i="26"/>
  <c r="D4" i="26"/>
  <c r="D3" i="26"/>
  <c r="D13" i="25"/>
  <c r="D3" i="25"/>
  <c r="D2" i="25"/>
  <c r="D4" i="24"/>
  <c r="D3" i="24"/>
  <c r="D14" i="23"/>
  <c r="D3" i="23"/>
  <c r="D3" i="22"/>
  <c r="D14" i="21"/>
  <c r="D4" i="21"/>
  <c r="D3" i="21"/>
  <c r="D4" i="20"/>
  <c r="D3" i="20"/>
  <c r="D14" i="19"/>
  <c r="D4" i="19"/>
  <c r="D3" i="19"/>
  <c r="D15" i="18"/>
  <c r="D14" i="18"/>
  <c r="D4" i="18"/>
  <c r="D3" i="18"/>
  <c r="D15" i="17"/>
  <c r="D14" i="17"/>
  <c r="D4" i="17"/>
  <c r="D8" i="16"/>
  <c r="C8" i="16"/>
  <c r="E7" i="16"/>
  <c r="E6" i="16"/>
  <c r="E5" i="16"/>
  <c r="E4" i="16"/>
  <c r="E3" i="16"/>
  <c r="E2" i="16"/>
  <c r="E8" i="16" s="1"/>
  <c r="D7" i="15"/>
  <c r="C7" i="15"/>
  <c r="E6" i="15"/>
  <c r="E5" i="15"/>
  <c r="E4" i="15"/>
  <c r="E3" i="15"/>
  <c r="E2" i="15"/>
  <c r="E7" i="15" s="1"/>
  <c r="D5" i="13"/>
  <c r="C5" i="13"/>
  <c r="E5" i="13" s="1"/>
  <c r="E4" i="13"/>
  <c r="E3" i="13"/>
  <c r="E2" i="13"/>
  <c r="D12" i="10"/>
  <c r="C12" i="10"/>
  <c r="E11" i="10"/>
  <c r="E10" i="10"/>
  <c r="E9" i="10"/>
  <c r="E8" i="10"/>
  <c r="E7" i="10"/>
  <c r="E6" i="10"/>
  <c r="E5" i="10"/>
  <c r="E4" i="10"/>
  <c r="E3" i="10"/>
  <c r="E2" i="10"/>
  <c r="E12" i="10" s="1"/>
  <c r="D6" i="9"/>
  <c r="C6" i="9"/>
  <c r="E5" i="9"/>
  <c r="E4" i="9"/>
  <c r="E3" i="9"/>
  <c r="E2" i="9"/>
  <c r="E6" i="9" s="1"/>
  <c r="D7" i="8"/>
  <c r="C7" i="8"/>
  <c r="E7" i="8" s="1"/>
  <c r="E6" i="8"/>
  <c r="E5" i="8"/>
  <c r="E4" i="8"/>
  <c r="E3" i="8"/>
  <c r="E2" i="8"/>
  <c r="D6" i="7"/>
  <c r="C6" i="7"/>
  <c r="E5" i="7"/>
  <c r="E4" i="7"/>
  <c r="E3" i="7"/>
  <c r="E2" i="7"/>
  <c r="E6" i="7" s="1"/>
  <c r="D7" i="6"/>
  <c r="C7" i="6"/>
  <c r="E6" i="6"/>
  <c r="E5" i="6"/>
  <c r="E4" i="6"/>
  <c r="E3" i="6"/>
  <c r="E2" i="6"/>
  <c r="E7" i="6" s="1"/>
  <c r="D7" i="3"/>
  <c r="C7" i="3"/>
  <c r="E6" i="3"/>
  <c r="E5" i="3"/>
  <c r="E4" i="3"/>
  <c r="E3" i="3"/>
  <c r="E2" i="3"/>
  <c r="E7" i="3" s="1"/>
  <c r="D5" i="2"/>
  <c r="C5" i="2"/>
  <c r="E5" i="2" s="1"/>
  <c r="E4" i="2"/>
  <c r="E3" i="2"/>
  <c r="E2" i="2"/>
  <c r="C17" i="1"/>
  <c r="B17" i="1"/>
  <c r="F16" i="1"/>
  <c r="D16" i="1"/>
  <c r="F15" i="1"/>
  <c r="D15" i="1"/>
  <c r="I14" i="1"/>
  <c r="H14" i="1"/>
  <c r="F14" i="1"/>
  <c r="D14" i="1"/>
  <c r="I13" i="1"/>
  <c r="H13" i="1"/>
  <c r="F13" i="1"/>
  <c r="D13" i="1"/>
  <c r="I12" i="1"/>
  <c r="H12" i="1"/>
  <c r="F12" i="1"/>
  <c r="D12" i="1"/>
  <c r="I11" i="1"/>
  <c r="H11" i="1"/>
  <c r="F11" i="1"/>
  <c r="D11" i="1"/>
  <c r="I10" i="1"/>
  <c r="H10" i="1"/>
  <c r="F10" i="1"/>
  <c r="D10" i="1"/>
  <c r="F9" i="1"/>
  <c r="D9" i="1"/>
  <c r="F8" i="1"/>
  <c r="D8" i="1"/>
  <c r="F7" i="1"/>
  <c r="D7" i="1"/>
  <c r="I6" i="1"/>
  <c r="H6" i="1"/>
  <c r="F6" i="1"/>
  <c r="D6" i="1"/>
  <c r="I5" i="1"/>
  <c r="H5" i="1"/>
  <c r="H17" i="1" s="1"/>
  <c r="F5" i="1"/>
  <c r="D5" i="1"/>
  <c r="I4" i="1"/>
  <c r="H4" i="1"/>
  <c r="F4" i="1"/>
  <c r="D4" i="1"/>
  <c r="I3" i="1"/>
  <c r="H3" i="1"/>
  <c r="F3" i="1"/>
  <c r="D3" i="1"/>
  <c r="I2" i="1"/>
  <c r="I17" i="1" s="1"/>
  <c r="H2" i="1"/>
  <c r="F2" i="1"/>
  <c r="F17" i="1" s="1"/>
  <c r="G2" i="1" s="1"/>
  <c r="D2" i="1"/>
  <c r="D17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 l="1"/>
</calcChain>
</file>

<file path=xl/sharedStrings.xml><?xml version="1.0" encoding="utf-8"?>
<sst xmlns="http://schemas.openxmlformats.org/spreadsheetml/2006/main" count="3092" uniqueCount="991">
  <si>
    <t>Atributos de calidad</t>
  </si>
  <si>
    <t xml:space="preserve"> Administrador</t>
  </si>
  <si>
    <t>Piloto</t>
  </si>
  <si>
    <t>Total</t>
  </si>
  <si>
    <t>Porcentaje</t>
  </si>
  <si>
    <t>Total Características</t>
  </si>
  <si>
    <t xml:space="preserve">Total votos </t>
  </si>
  <si>
    <t>Administrador</t>
  </si>
  <si>
    <t>Disponibilidad</t>
  </si>
  <si>
    <t>Confiabilidad</t>
  </si>
  <si>
    <t>Rendimiento</t>
  </si>
  <si>
    <t>Seguridad</t>
  </si>
  <si>
    <t>Nota: Esta votado de 1 a 15 donde a mayor numero tiene un mayor impacto</t>
  </si>
  <si>
    <t>Escalabilidad</t>
  </si>
  <si>
    <t>Mantenibilidad</t>
  </si>
  <si>
    <t>Capacidad para ser soportado</t>
  </si>
  <si>
    <t>Capacidad para ser probado</t>
  </si>
  <si>
    <t>Capacidad de ser administrado</t>
  </si>
  <si>
    <t>Interoperabilidad</t>
  </si>
  <si>
    <t>Accesibilidad</t>
  </si>
  <si>
    <t>Experiencia de usuario</t>
  </si>
  <si>
    <t>Conformidad</t>
  </si>
  <si>
    <t>Internacionalización</t>
  </si>
  <si>
    <t>Flexibilidad</t>
  </si>
  <si>
    <t>Características</t>
  </si>
  <si>
    <t>Escenarios</t>
  </si>
  <si>
    <t>Se requiere que los elementos interactivos tengan un tamaño y espaciado suficiente para evitar errores al ser seleccionados.</t>
  </si>
  <si>
    <t>Se requiere que la aplicación utilice tamaños de texto fijos y legibles, asegurando lectura cómoda sin necesidad de ajustes manuales.</t>
  </si>
  <si>
    <t>Se requiere que los mensajes de error se presenten de forma clara y comprensible, ofreciendo orientación para corregir la acción.</t>
  </si>
  <si>
    <t>Priorización</t>
  </si>
  <si>
    <t>NOTA: define que tan fácil es gestionar la aplicación, usualmente a través de una instrumentación suficiente y adecuada que se expone en un sistema de monitoreo para efectos mejoramiento del rendimiento e identificación de errores.</t>
  </si>
  <si>
    <t>Se requiere que la aplicación cuente con un panel de administración que permita gestionar aerolíneas, rutas aéreas, aeropuertos y modelos de aeronave, activándolos o desactivándolos según las necesidades operativas.</t>
  </si>
  <si>
    <t>Se requiere que la aplicación permita al administrador activar o desactivar recursos operativos (aerolíneas, rutas, aeropuertos, aeronaves) sin necesidad de modificar el código fuente, reflejando los cambios inmediatamente para los pilotos.</t>
  </si>
  <si>
    <t>Se requiere que la aplicación soporte la gestión del catálogo de recursos operativos (aerolíneas, rutas aéreas) con operaciones de activación/desactivación desde la interfaz administrativa.</t>
  </si>
  <si>
    <t>Se requiere que la aplicación permita la administración remota, ya que el panel de administración es accesible desde cualquier navegador web mediante la versión web de Flutter.</t>
  </si>
  <si>
    <t>Se requiere que la API del sistema cuente con documentación Swagger actualizada y accesible, facilitando la comprensión de los endpoints disponibles para la administración.</t>
  </si>
  <si>
    <t>Se requiere que los cálculos de horas de vuelo, alertas regulatorias y conteo de aterrizajes sean consistentes y precisos en cada consulta del piloto.</t>
  </si>
  <si>
    <t>Se requiere que la aplicación maneje los errores de comunicación con el backend de manera controlada, mostrando mensajes claros al piloto sin perder datos en proceso.</t>
  </si>
  <si>
    <t>Se requiere que la información de horas de vuelo, logbooks y registros de pilotos esté almacenada de forma persistente en base de datos MySQL, previniendo pérdida de datos.</t>
  </si>
  <si>
    <t>Se requiere que el backend procese las solicitudes concurrentemente mediante goroutines de Go, asegurando que un error en una solicitud no afecte las demás.</t>
  </si>
  <si>
    <t>Se requiere que la aplicación detecte errores en cálculos de horas, alertas o comunicación con Keycloak, y los presente al piloto de manera controlada sin cierres inesperados.</t>
  </si>
  <si>
    <t>Se requiere que la aplicación cumpla con las regulaciones de aviación civil vigentes en materia de registro de horas de vuelo, límites operacionales y documentación de la actividad del piloto.</t>
  </si>
  <si>
    <t>Escenario</t>
  </si>
  <si>
    <t>Se requiere que los umbrales(limites) regulatorios (50h/15días, 90h/mes, 270h/trimestre, 1000h/año, 3 aterrizajes/90días) estén definidos como constantes en el código, facilitando su actualización ante cambios normativos.</t>
  </si>
  <si>
    <t>Se requiere que la aplicación proteja los datos de los pilotos mediante autenticación JWT con cookies HttpOnly, cifrado de credenciales delegado a Keycloak, y validación de schemas JSON en cada endpoint.</t>
  </si>
  <si>
    <t>Se requiere que la aplicación presente mensajes claros al piloto sobre el propósito del registro de horas y la importancia de la precisión de los datos ingresados para el cumplimiento regulatorio.</t>
  </si>
  <si>
    <t>NOTA: Grado en el que los datos tienen atributos que se adhieren a estándares, convenciones o normativas vigentes y reglas similares referentes a la calidad de datos en un contexto de uso específico.</t>
  </si>
  <si>
    <t>Característica</t>
  </si>
  <si>
    <t>Se requiere que la aplicación pueda ejecutarse sin interrupciones durante eventos críticos o de alta demanda.</t>
  </si>
  <si>
    <t>Se requiere que la base de datos MySQL permita realizar copias de seguridad de la información de vuelos y pilotos sin interrumpir la operación de la aplicación.</t>
  </si>
  <si>
    <t>Se requiere que la aplicación cuente con endpoints de monitoreo (/health) y métricas (Prometheus) que permitan supervisar el estado del servicio en todo momento.</t>
  </si>
  <si>
    <t>Se requiere que la aplicación pueda ser restaurada rápidamente en caso de caída, mediante contenedores Docker y scripts de despliegue automatizado.</t>
  </si>
  <si>
    <t>Se requiere que la aplicación informe al piloto de manera clara cuando el servicio no esté disponible, mostrando mensajes de error descriptivos y permitiendo reintentar la operación.</t>
  </si>
  <si>
    <t>NOTA: Disponibilidad: Capacidad del sistema o componente de estar operativo y accesible para su uso cuando se requiere.</t>
  </si>
  <si>
    <t>Se requiere que la aplicación pueda ser desplegada en contenedores, permitiendo escalar horizontalmente agregando instancias adicionales según la demanda.</t>
  </si>
  <si>
    <t>Se requiere que la base de datos MySQL soporte el crecimiento del historial de vuelos y pilotos sin degradar los tiempos de consulta de resúmenes y alertas.</t>
  </si>
  <si>
    <t>Se requiere que la aplicación pueda someterse a pruebas que muestren cómo se comporta cuando tiene que atender a muchos usuarios al mismo tiempo, para asegurar que siga funcionando bien.</t>
  </si>
  <si>
    <t>Se requiere que la aplicación gestione adecuadamente múltiples pilotos consultando simultáneamente sus horas de vuelo y alertas, utilizando la concurrencia nativa de Go sin pérdida de datos.</t>
  </si>
  <si>
    <t>NOTA: se define como el conjunto de factores y elementos relacionados con el proceso de interacción de un usuario respecto a un producto o servicio.</t>
  </si>
  <si>
    <t>Se requiere que la aplicación mantenga una estética visual coherente con la identidad de la marca, mejorando la percepción de confianza.</t>
  </si>
  <si>
    <t>Se requiere que la aplicación mantenga una navegación consistente, con menús y controles ubicados de manera predecible.</t>
  </si>
  <si>
    <t>Se requiere que la aplicación minimice la cantidad de pasos necesarios para realizar las tareas más frecuentes.</t>
  </si>
  <si>
    <t>Se requiere que la aplicación evite sobrecargar la interfaz con elementos innecesarios que dificulten la interacción.</t>
  </si>
  <si>
    <t>Se requiere que la aplicación presente textos descriptivos y labels claros en cada sección, guiando al piloto sobre la función de cada elemento de la interfaz.</t>
  </si>
  <si>
    <t>Se requiere que la aplicación cuente con tiempos de respuesta ágiles, evitando retrasos que generen frustración en la experiencia del usuario.</t>
  </si>
  <si>
    <t>Se requiere que la aplicación utilice tamaños de fuente legibles, colores de alto contraste y espaciado adecuado para garantizar una buena experiencia visual a todos los pilotos.</t>
  </si>
  <si>
    <t>Se requiere que la aplicación proporcione retroalimentación inmediata a las acciones del usuario (mensajes de éxito, error o progreso) para mantener claridad en la interacción.</t>
  </si>
  <si>
    <t>Se requiere que la aplicación mantenga una experiencia visual predecible y consistente en todas sus secciones, utilizando el mismo sistema de diseño (colores, tipografía, iconografía) en cada pantalla.</t>
  </si>
  <si>
    <t>Se requiere que la aplicación mantenga consistencia entre plataformas y dispositivos, de forma que la experiencia sea homogénea en web, móvil o tablet.</t>
  </si>
  <si>
    <t>Se requiere que la aplicación se integre correctamente con Keycloak como proveedor de identidad (OIDC), asegurando la autenticación, registro, verificación de email y recuperación de contraseña del piloto.</t>
  </si>
  <si>
    <t>Se requiere que la comunicación entre la aplicación y Keycloak utilice tokens JWT seguros y cookies HttpOnly para proteger la información de autenticación intercambiada.</t>
  </si>
  <si>
    <t>Se requiere que la aplicación funcione correctamente en múltiples plataformas (Android, iOS, Web) conectándose al mismo backend Go mediante API REST, independientemente del sistema operativo del dispositivo.</t>
  </si>
  <si>
    <t>NOTA: es la habilidad de que diversos componentes de un sistema diferentes sistemas funcionen correctamente al intercambiar información, comúnmente por medio de servicios. Un sistema interoperable hace fácil intercambiar y usar información interna y externamente.</t>
  </si>
  <si>
    <t>Se requiere que la aplicación haga un uso eficiente de los recursos del servidor, utilizando Go con Gin framework y pool de conexiones MySQL para minimizar el consumo de memoria y CPU.</t>
  </si>
  <si>
    <t>Se requiere que la aplicación maneje eficientemente el historial de vuelos del piloto, manteniendo tiempos de respuesta estables a medida que crece el número de registros.</t>
  </si>
  <si>
    <t>Se requiere que la respuesta de la aplicación ante una solicitud del usuario no supere los 2 segundos en condiciones operativas normales, garantizando una experiencia fluida y ágil.</t>
  </si>
  <si>
    <t>Se requiere que las consultas de resumen de horas de vuelo, alertas regulatorias y logbooks estén optimizadas con agregación SQL para reducir tiempos de espera.</t>
  </si>
  <si>
    <t xml:space="preserve">NOTA: es un indicador de la capacidad de respuesta del sistema para ejecutar una acción dentro de un intervalo de tiempo dado. Puede ser medida en términos de latencia o de respuesta. </t>
  </si>
  <si>
    <t>Se requiere que las métricas de rendimiento del servidor sean recolectadas mediante Prometheus sin afectar la experiencia del usuario con la aplicación.</t>
  </si>
  <si>
    <t>Se requiere que los usuarios puedan autenticarse mediante un nombre de usuario y una contraseña válidos, permitiendo el acceso a la aplicación solo a personas autorizadas.</t>
  </si>
  <si>
    <t>Se requiere que la aplicación permita el registro de nuevos pilotos con validación de correo electrónico (verificación por email via Keycloak) antes de activar la cuenta.</t>
  </si>
  <si>
    <t>Se requiere que los usuarios tengan la posibilidad de recuperar su contraseña, ya sea respondiendo preguntas de seguridad previamente configuradas o mediante un enlace enviado al correo electrónico registrado, garantizando la protección frente a accesos indebidos.</t>
  </si>
  <si>
    <t>Se requiere que las credenciales de los pilotos sean gestionadas por Keycloak con cifrado seguro, y que los tokens de sesión se transporten como cookies HttpOnly para evitar exposición.</t>
  </si>
  <si>
    <t>Se requiere que la aplicación implemente control de acceso basado en roles (RBAC), donde solo los administradores puedan gestionar aerolíneas, rutas y aeronaves, y los pilotos accedan únicamente a sus datos de vuelo.</t>
  </si>
  <si>
    <t>Se requiere que la aplicación cierre automáticamente la sesión del usuario tras un período determinado de inactividad, con el fin de evitar accesos no autorizados por descuido o abandono de sesión.</t>
  </si>
  <si>
    <t>Atributo de calidad:</t>
  </si>
  <si>
    <t>Característica:</t>
  </si>
  <si>
    <t>Identificador del escenario de calidad:</t>
  </si>
  <si>
    <t>ESC-CAL-ACC-0001</t>
  </si>
  <si>
    <t>Nombre del escenario de calidad:</t>
  </si>
  <si>
    <t>Legibilidad de textos y datos en la aplicación</t>
  </si>
  <si>
    <t>Tipo escenario:</t>
  </si>
  <si>
    <t>Básico</t>
  </si>
  <si>
    <t>Objetivo</t>
  </si>
  <si>
    <t>Verificar que los textos y datos numéricos de la aplicación son legibles sin esfuerzo.</t>
  </si>
  <si>
    <t>Descripción:</t>
  </si>
  <si>
    <t>El piloto utiliza la app y todos los textos (etiquetas, horas, alertas, nombres de rutas) se muestran con tamaño de fuente adecuado y contraste suficiente.</t>
  </si>
  <si>
    <t>Criterio de éxito:</t>
  </si>
  <si>
    <t>Los textos principales tienen tamaño mínimo de 13px. El contraste de color cumple con ratio mínimo 4.5:1.</t>
  </si>
  <si>
    <t>Fuente del estímulo</t>
  </si>
  <si>
    <t>Estímulo</t>
  </si>
  <si>
    <t>Ambiente</t>
  </si>
  <si>
    <t>Artefacto</t>
  </si>
  <si>
    <t>Respuesta</t>
  </si>
  <si>
    <t>Medida de la respuesta</t>
  </si>
  <si>
    <t>¿Cumplió?</t>
  </si>
  <si>
    <t>Tácticas y estrategia</t>
  </si>
  <si>
    <t>Piloto que utiliza la aplicación en condiciones normales.</t>
  </si>
  <si>
    <t>El piloto navega por las principales pantallas de la app (login, dashboard, alertas, logbook).</t>
  </si>
  <si>
    <t>Operación normal</t>
  </si>
  <si>
    <t>Aplicación móvil/web</t>
  </si>
  <si>
    <t>Todos los textos son legibles sin necesidad de zoom o ajustes manuales.</t>
  </si>
  <si>
    <t>Fuente mínima: 13px para texto normal, 22px para títulos. Contraste ≥ 4.5:1 entre texto y fondo.</t>
  </si>
  <si>
    <t>Flutter TextStyle con tamaños definidos: títulos 22px bold, body 13-16px, labels 12px. Colores de alto contraste: texto #1a1a2e sobre fondo #F5F8FF. AppPageHeader (core/widgets/app_page_header.dart) con color #1a1a2e para títulos.</t>
  </si>
  <si>
    <t>ESC-CAL-ACC-0002</t>
  </si>
  <si>
    <t>Interfaz funcional en diferentes tamaños de pantalla</t>
  </si>
  <si>
    <t>Alternativo</t>
  </si>
  <si>
    <t>Verificar que la interfaz se adapta correctamente a pantallas de diferentes tamaños (móvil, tablet, desktop).</t>
  </si>
  <si>
    <t>El piloto accede a la app desde un dispositivo móvil y desde un navegador web. La disposición de elementos se adapta al tamaño de pantalla sin pérdida de funcionalidad.</t>
  </si>
  <si>
    <t>En móvil los elementos se apilan verticalmente. En desktop se distribuyen en filas. Ningún botón o dato queda cortado.</t>
  </si>
  <si>
    <t>Piloto que accede desde diferentes dispositivos.</t>
  </si>
  <si>
    <t>El piloto abre la pantalla de alertas en un teléfono móvil y luego en un navegador de escritorio.</t>
  </si>
  <si>
    <t>En móvil: layout vertical (Column). En desktop: layout horizontal (Row) con tarjetas lado a lado.</t>
  </si>
  <si>
    <t>Responsive correcto en ancho ≤600px (móvil) y ≥1024px (desktop). Sin overflow visual ni elementos cortados.</t>
  </si>
  <si>
    <t>ResponsiveBreakpoints.isDesktop(constraints.maxWidth) en LayoutBuilder (core/responsive/responsive_breakpoints.dart). ResponsivePadding.page() adaptativo (core/responsive/responsive_padding.dart). Flutter cross-platform: un solo codebase para Android, iOS y Web.</t>
  </si>
  <si>
    <t>ESC-CAL-ACC-0003</t>
  </si>
  <si>
    <t>Lectura clara de información en pantallas principales</t>
  </si>
  <si>
    <t>Verificar que todos los textos de la aplicación se muestran con tamaños fijos y legibles para el usuario.</t>
  </si>
  <si>
    <t>El piloto accede a las principales pantallas de la aplicación (dashboard, alertas y logbook) y puede leer toda la información sin necesidad de acercar la pantalla o ajustar el tamaño del texto.</t>
  </si>
  <si>
    <t>Los textos tienen tamaños definidos y consistentes en toda la aplicación, permitiendo una lectura clara.</t>
  </si>
  <si>
    <t>Piloto que utiliza la aplicación en condiciones normales</t>
  </si>
  <si>
    <t>El piloto navega por diferentes pantallas de la aplicación</t>
  </si>
  <si>
    <t>La aplicación muestra todos los textos con tamaños definidos y legibles</t>
  </si>
  <si>
    <t>Texto principal mínimo 14px, títulos mínimo 22px, sin necesidad de zoom</t>
  </si>
  <si>
    <t>Uso de estilos globales en Flutter con TextStyle definidos para títulos, subtítulos y contenido</t>
  </si>
  <si>
    <t>ESC-CAL-ACC-0004</t>
  </si>
  <si>
    <t>Consistencia en tamaños de texto en toda la aplicación</t>
  </si>
  <si>
    <t>Verificar que el tamaño del texto se mantiene consistente en todas las secciones de la aplicación.</t>
  </si>
  <si>
    <t>El piloto accede a diferentes módulos de la aplicación (perfil, alertas, historial de vuelo) y observa que el tamaño del texto mantiene un formato consistente.</t>
  </si>
  <si>
    <t>No existen variaciones de tamaño inesperadas en textos que cumplen la misma función.</t>
  </si>
  <si>
    <t>Piloto que utiliza la aplicación</t>
  </si>
  <si>
    <t>El piloto revisa diferentes secciones de la aplicación</t>
  </si>
  <si>
    <t>Los textos mantienen tamaños consistentes en todas las pantallas</t>
  </si>
  <si>
    <t>Variación máxima permitida ±2px para textos del mismo tipo</t>
  </si>
  <si>
    <t>Implementación de estilos reutilizables en Flutter y uso de tema global de tipografía</t>
  </si>
  <si>
    <t>ESC-CAL-ACC-0005</t>
  </si>
  <si>
    <t>Visualización clara de mensajes de error</t>
  </si>
  <si>
    <t>Verificar que los mensajes de error informan claramente al usuario sobre el problema ocurrido.</t>
  </si>
  <si>
    <t>El piloto intenta iniciar sesión ingresando credenciales incorrectas y la aplicación muestra un mensaje que explica el error de forma clara.</t>
  </si>
  <si>
    <t>El usuario entiende el error y sabe qué acción debe realizar para corregirlo.</t>
  </si>
  <si>
    <t>Piloto que usa la aplicación</t>
  </si>
  <si>
    <t>El piloto introduce credenciales incorrectas en el inicio de sesión</t>
  </si>
  <si>
    <t>El sistema muestra un mensaje de error claro indicando el problema</t>
  </si>
  <si>
    <t>Mensaje visible en menos de 1 segundo con explicación comprensible</t>
  </si>
  <si>
    <t>Uso de componentes de alerta en la interfaz con mensajes descriptivos</t>
  </si>
  <si>
    <t>ESC-CAL-ACC-0006</t>
  </si>
  <si>
    <t>Orientación al usuario para corregir errores</t>
  </si>
  <si>
    <t>Verificar que los mensajes de error proporcionan orientación para que el usuario pueda corregir la acción.</t>
  </si>
  <si>
    <t>El piloto intenta registrar un dato obligatorio vacío en un formulario y la aplicación muestra un mensaje indicando qué campo debe completarse.</t>
  </si>
  <si>
    <t>El mensaje identifica el campo con error y explica cómo corregirlo.</t>
  </si>
  <si>
    <t>El piloto intenta enviar un formulario con campos obligatorios vacíos</t>
  </si>
  <si>
    <t>La aplicación muestra un mensaje indicando el campo que debe corregirse</t>
  </si>
  <si>
    <t>Mensaje visible junto al campo con error y resaltado visual</t>
  </si>
  <si>
    <t>Validación de formularios en Flutter y uso de mensajes de ayuda debajo de los campos</t>
  </si>
  <si>
    <t>ESC-CAL-CADMI-0001</t>
  </si>
  <si>
    <t>Gestión de aerolíneas, rutas y aeronaves desde la aplicación</t>
  </si>
  <si>
    <t>Verificar que el administrador puede gestionar (activar/desactivar) aerolíneas, rutas aéreas y modelos de aeronave directamente desde la aplicación.</t>
  </si>
  <si>
    <t>El administrador accede a la app con rol 'admin' y gestiona los recursos del sistema: activa o desactiva aerolíneas, rutas aéreas, aeropuertos y modelos de aeronave disponibles para los pilotos.</t>
  </si>
  <si>
    <t>El administrador puede activar y desactivar cada recurso. Los cambios se reflejan inmediatamente para los pilotos.</t>
  </si>
  <si>
    <t>Administrador con rol 'admin' autenticado en la aplicación.</t>
  </si>
  <si>
    <t>El administrador activa o desactiva una aerolínea, ruta aérea, aeropuerto o modelo de aeronave.</t>
  </si>
  <si>
    <t>Sistema (API + Frontend admin)</t>
  </si>
  <si>
    <t>El recurso cambia de estado (activo/inactivo). Los pilotos solo ven los recursos activos en sus listados.</t>
  </si>
  <si>
    <t>Cambio de estado confirmado con respuesta 200. Recurso actualizado visible en la app del piloto en menos de 5 segundos.</t>
  </si>
  <si>
    <t>Endpoints RBAC protegidos con middleware RequireRole('admin'): PATCH /airlines/:id/activate, /airlines/:id/deactivate, /airline-routes/:id/activate, /airports/:id/activate, /aircraft-models/:id/activate. Base de datos MySQL con campo 'status' booleano. AdminHomePage (admin_home_page.dart) como panel central.</t>
  </si>
  <si>
    <t>ESC-CAL-CADMI-0002</t>
  </si>
  <si>
    <t>Restricción de acceso administrativo por roles</t>
  </si>
  <si>
    <t>Verificar que un usuario con rol 'pilot' no puede acceder a las funcionalidades de administración.</t>
  </si>
  <si>
    <t>Un piloto autenticado intenta acceder a los endpoints de administración (activar/desactivar aerolíneas, rutas, etc.). El sistema debe rechazar la solicitud por permisos insuficientes.</t>
  </si>
  <si>
    <t>El sistema rechaza la solicitud con error 403 Forbidden. Ninguna acción administrativa se ejecuta.</t>
  </si>
  <si>
    <t>Piloto autenticado que intenta acceder a funciones administrativas.</t>
  </si>
  <si>
    <t>El piloto envía una solicitud al endpoint PATCH /airlines/:id/activate.</t>
  </si>
  <si>
    <t>Sistema (API Backend)</t>
  </si>
  <si>
    <t>El middleware RequireRole('admin') rechaza la solicitud con estado 403 y un mensaje de error claro.</t>
  </si>
  <si>
    <t>Respuesta HTTP 403 Forbidden. Mensaje de error descriptivo. Ningún recurso modificado en la base de datos.</t>
  </si>
  <si>
    <t>Middleware RequireRole('admin') en Gin que verifica el claim 'role' del JWT (middleware/jwt_middleware.go). Separación explícita de rutas: grupo 'pilot' vs grupo 'admin' en server.go. Validación en capa de middleware antes de llegar al handler.</t>
  </si>
  <si>
    <t>ESC-CAL-CADMI-0003</t>
  </si>
  <si>
    <t>Gestión dinámica de recursos sin intervención de desarrollo</t>
  </si>
  <si>
    <t>Verificar que los recursos operativos puedan modificarse desde el panel administrativo sin cambios en el código.</t>
  </si>
  <si>
    <t>El administrador modifica el estado de una ruta aérea desde la interfaz administrativa sin necesidad de realizar despliegues o cambios en el código del sistema.</t>
  </si>
  <si>
    <t>Los cambios se aplican directamente desde la interfaz administrativa.</t>
  </si>
  <si>
    <t>Administrador del sistema</t>
  </si>
  <si>
    <t>Cambia el estado de una ruta aérea desde el panel administrativo</t>
  </si>
  <si>
    <t>Sistema</t>
  </si>
  <si>
    <t>El sistema actualiza el recurso sin modificar el código del sistema</t>
  </si>
  <si>
    <t>Cambios visibles inmediatamente después de guardar</t>
  </si>
  <si>
    <t>Arquitectura basada en base de datos configurable</t>
  </si>
  <si>
    <t>ESC-CAL-CADMI-0004</t>
  </si>
  <si>
    <t xml:space="preserve">Sistema </t>
  </si>
  <si>
    <t>ESC-CAL-CADMI-0005</t>
  </si>
  <si>
    <t>Administración del catálogo de recursos operativos</t>
  </si>
  <si>
    <t>Verificar que el catálogo de recursos operativos pueda ser gestionado desde la interfaz administrativa.</t>
  </si>
  <si>
    <t>El administrador accede al módulo de catálogo y activa o desactiva rutas aéreas disponibles en el sistema.</t>
  </si>
  <si>
    <t>Las modificaciones se reflejan correctamente en el catálogo del sistema.</t>
  </si>
  <si>
    <t>Gestiona el catálogo de rutas aéreas</t>
  </si>
  <si>
    <t>El sistema actualiza el catálogo de recursos</t>
  </si>
  <si>
    <t>Actualización guardada en base de datos</t>
  </si>
  <si>
    <t>CRUD administrativo mediante API REST</t>
  </si>
  <si>
    <t>ESC-CAL-CADMI-0006</t>
  </si>
  <si>
    <t>Edición de recursos operativos desde el panel administrativo</t>
  </si>
  <si>
    <t>Verificar que el administrador pueda modificar información de los recursos operativos desde el panel administrativo.</t>
  </si>
  <si>
    <t>El administrador accede al panel de administración y edita la información de una aerolínea o modelo de aeronave registrado en el sistema.</t>
  </si>
  <si>
    <t>Los cambios realizados se guardan correctamente y se reflejan en el sistema.</t>
  </si>
  <si>
    <t>Modifica la información de un recurso operativo desde el panel administrativo</t>
  </si>
  <si>
    <t>El sistema actualiza los datos del recurso seleccionado</t>
  </si>
  <si>
    <t>Cambios guardados en base de datos y visibles en menos de 2 segundos</t>
  </si>
  <si>
    <t>Uso de formularios administrativos conectados a API REST</t>
  </si>
  <si>
    <t>ESC-CAL-CADMI-0007</t>
  </si>
  <si>
    <t>Acceso remoto al panel de administración</t>
  </si>
  <si>
    <t>Verificar que el panel de administración pueda ser utilizado desde cualquier navegador web.</t>
  </si>
  <si>
    <t>El administrador accede al panel administrativo desde un navegador web en un dispositivo diferente al del servidor.</t>
  </si>
  <si>
    <t>El sistema permite gestionar recursos desde cualquier ubicación con acceso a internet.</t>
  </si>
  <si>
    <t>Accede al panel administrativo desde un navegador web</t>
  </si>
  <si>
    <t>El sistema permite la gestión completa desde el navegador</t>
  </si>
  <si>
    <t>Acceso exitoso desde navegadores modernos</t>
  </si>
  <si>
    <t>Uso de Flutter Web para panel administrativo</t>
  </si>
  <si>
    <t>ESC-CAL-CADMI-0008</t>
  </si>
  <si>
    <t>Acceso administrativo desde diferentes dispositivos</t>
  </si>
  <si>
    <t>Verificar que el panel de administración funcione correctamente desde diferentes dispositivos.</t>
  </si>
  <si>
    <t>El administrador accede al panel administrativo desde un computador portátil y posteriormente desde una tablet usando un navegador web.</t>
  </si>
  <si>
    <t>La interfaz administrativa funciona correctamente sin pérdida de funcionalidad.</t>
  </si>
  <si>
    <t>Accede al panel administrativo desde diferentes dispositivos</t>
  </si>
  <si>
    <t>El sistema permite la administración completa desde cualquier dispositivo</t>
  </si>
  <si>
    <t>Interfaz funcional en navegadores modernos</t>
  </si>
  <si>
    <t>Uso de Flutter Web responsive</t>
  </si>
  <si>
    <t>ESC-CAL-CADMI-0009</t>
  </si>
  <si>
    <t>Acceso a documentación de API para administración</t>
  </si>
  <si>
    <t>Verificar que la documentación de la API esté disponible y actualizada.</t>
  </si>
  <si>
    <t>El administrador o desarrollador accede a la documentación Swagger para consultar los endpoints disponibles.</t>
  </si>
  <si>
    <t>La documentación describe correctamente los endpoints y parámetros disponibles.</t>
  </si>
  <si>
    <t>Accede a la documentación de la API</t>
  </si>
  <si>
    <t>El sistema muestra la documentación completa de los endpoints</t>
  </si>
  <si>
    <t>Documentación accesible vía navegador</t>
  </si>
  <si>
    <t>Uso de Swagger/OpenAPI para documentar endpoints</t>
  </si>
  <si>
    <t>ESC-CAL-CADMI-00010</t>
  </si>
  <si>
    <t>Consulta interactiva de endpoints de administración</t>
  </si>
  <si>
    <t>Verificar que la documentación Swagger permita probar los endpoints disponibles.</t>
  </si>
  <si>
    <t>El administrador accede a la documentación Swagger y utiliza la interfaz para probar un endpoint de consulta de aerolíneas.</t>
  </si>
  <si>
    <t>El endpoint responde correctamente mostrando los datos solicitados.</t>
  </si>
  <si>
    <t>Ejecuta una consulta a un endpoint desde Swagger</t>
  </si>
  <si>
    <t>El sistema devuelve la información solicitada</t>
  </si>
  <si>
    <t>Respuesta correcta del endpoint en menos de 2 segundos</t>
  </si>
  <si>
    <t>Documentación interactiva mediante Swagger/OpenAPI</t>
  </si>
  <si>
    <t>ESC-CAL-CONF-0001</t>
  </si>
  <si>
    <t>Cálculo correcto de horas de vuelo acumuladas</t>
  </si>
  <si>
    <t>Verificar que el sistema calcula correctamente las horas de vuelo totales y por rol del piloto (PF, PM, PFTO, PFL).</t>
  </si>
  <si>
    <t>El piloto registra varios vuelos con diferentes roles y luego consulta el resumen de horas. El sistema debe sumar correctamente los minutos por rol y mostrar el total.</t>
  </si>
  <si>
    <t>El total de horas mostrado coincide con la suma manual de los vuelos registrados. Los subtotales por rol son exactos.</t>
  </si>
  <si>
    <t>El piloto navega a la sección de Flight Hours Summary y selecciona un período (mensual, trimestral, anual).</t>
  </si>
  <si>
    <t>Sistema (API + Frontend)</t>
  </si>
  <si>
    <t>El sistema muestra el total de horas y el desglose por rol PF, PM, PFTO, PFL correctamente calculados.</t>
  </si>
  <si>
    <t>Los totales coinciden al 100% con la suma manual. Formato HH:MM consistente.</t>
  </si>
  <si>
    <t>Cálculo en backend con FormatMinutesToHHMM (flight_hours_summary.go). Agregación por PilotRoleBreakdown discriminando pilot_role. Frontend muestra valores con _buildStatCardsGrid (alerts_page.dart). Estado FlightHoursSummarySuccess porta los datos calculados.</t>
  </si>
  <si>
    <t>ESC-CAL-CONF-0002</t>
  </si>
  <si>
    <t>Consistencia en alertas regulatorias</t>
  </si>
  <si>
    <t>Verificar que las alertas regulatorias se generen correctamente según las horas registradas.</t>
  </si>
  <si>
    <t>El piloto alcanza el límite de horas de vuelo permitido por regulación y el sistema genera una alerta automática.</t>
  </si>
  <si>
    <t>La alerta aparece inmediatamente después de superar el límite configurado.</t>
  </si>
  <si>
    <t>Piloto que registra un nuevo vuelo</t>
  </si>
  <si>
    <t>El sistema recalcula las horas acumuladas</t>
  </si>
  <si>
    <t>Se genera una alerta regulatoria correspondiente</t>
  </si>
  <si>
    <t>Alerta generada inmediatamente después del cálculo</t>
  </si>
  <si>
    <t>Validaciones automáticas en backend</t>
  </si>
  <si>
    <t>ESC-CAL-CONF-0003</t>
  </si>
  <si>
    <t>Manejo de fallos de comunicación con backend</t>
  </si>
  <si>
    <t>Verificar que la aplicación maneje adecuadamente errores de comunicación con el servidor.</t>
  </si>
  <si>
    <t>El piloto intenta consultar su logbook mientras ocurre un problema de conexión con el backend.</t>
  </si>
  <si>
    <t>La aplicación muestra un mensaje claro sin cerrarse inesperadamente.</t>
  </si>
  <si>
    <t>Solicita información del logbook</t>
  </si>
  <si>
    <t>La aplicación muestra mensaje de error controlado</t>
  </si>
  <si>
    <t>Mensaje visible en menos de 2 segundos</t>
  </si>
  <si>
    <t>Manejo de errores HTTP en cliente</t>
  </si>
  <si>
    <t>ESC-CAL-CONF-0004</t>
  </si>
  <si>
    <t>Protección de datos durante fallos de comunicación</t>
  </si>
  <si>
    <t>Verificar que los datos en proceso no se pierdan durante fallos de comunicación.</t>
  </si>
  <si>
    <t>El piloto está registrando un vuelo cuando se pierde la conexión con el backend.</t>
  </si>
  <si>
    <t>Los datos ingresados permanecen almacenados hasta que la conexión se restablezca.</t>
  </si>
  <si>
    <t>Registra información de vuelo</t>
  </si>
  <si>
    <t>Fallo de conexión</t>
  </si>
  <si>
    <t>Los datos permanecen en memoria o almacenamiento temporal</t>
  </si>
  <si>
    <t>Datos recuperados después de reconexión</t>
  </si>
  <si>
    <t>Uso de almacenamiento temporal local</t>
  </si>
  <si>
    <t>ESC-CAL-CONF-0005</t>
  </si>
  <si>
    <t>Verificar que los registros de vuelo se almacenen correctamente.</t>
  </si>
  <si>
    <t>El piloto registra un vuelo y el sistema guarda la información en la base de datos.</t>
  </si>
  <si>
    <t>Los datos permanecen almacenados después de cerrar sesión.</t>
  </si>
  <si>
    <t>Registra un nuevo vuelo</t>
  </si>
  <si>
    <t>El sistema guarda los datos correctamente</t>
  </si>
  <si>
    <t>Registro disponible en futuras consultas</t>
  </si>
  <si>
    <t>Persistencia mediante MySQL</t>
  </si>
  <si>
    <t>ESC-CAL-CONF-0006</t>
  </si>
  <si>
    <t>Recuperación confiable de registros almacenados</t>
  </si>
  <si>
    <t>El piloto inicia sesión nuevamente y consulta su historial de vuelos.</t>
  </si>
  <si>
    <t>Los registros previamente guardados se muestran correctamente.</t>
  </si>
  <si>
    <t>Consulta historial de vuelos</t>
  </si>
  <si>
    <t>El sistema recupera los datos almacenados</t>
  </si>
  <si>
    <t>Datos mostrados correctamente</t>
  </si>
  <si>
    <t>Consultas SQL optimizadas</t>
  </si>
  <si>
    <t>ESC-CAL-CONF-0007</t>
  </si>
  <si>
    <t>Procesamiento concurrente de solicitudes</t>
  </si>
  <si>
    <t>Verificar que el backend pueda atender múltiples solicitudes simultáneamente.</t>
  </si>
  <si>
    <t>Varios pilotos realizan consultas de logbook al mismo tiempo.</t>
  </si>
  <si>
    <t>Todas las solicitudes son procesadas sin bloqueo.</t>
  </si>
  <si>
    <t>Múltiples pilotos</t>
  </si>
  <si>
    <t>Realizan consultas simultáneas</t>
  </si>
  <si>
    <t>Alta carga</t>
  </si>
  <si>
    <t>El sistema procesa solicitudes concurrentemente</t>
  </si>
  <si>
    <t>Tiempo de respuesta promedio menor a 2 segundos</t>
  </si>
  <si>
    <t>Uso de goroutines en Go</t>
  </si>
  <si>
    <t>ESC-CAL-CONF-0008</t>
  </si>
  <si>
    <t>Aislamiento de errores en solicitudes concurrentes</t>
  </si>
  <si>
    <t>Verificar que un error en una solicitud no afecte las demás.</t>
  </si>
  <si>
    <t>Una solicitud al backend genera un error mientras otras solicitudes continúan ejecutándose.</t>
  </si>
  <si>
    <t>Las demás solicitudes se completan correctamente.</t>
  </si>
  <si>
    <t>Una solicitud genera error</t>
  </si>
  <si>
    <t>El error se maneja sin afectar otras solicitudes</t>
  </si>
  <si>
    <t>Las demás solicitudes responden normalmente</t>
  </si>
  <si>
    <t>Manejo independiente de goroutines</t>
  </si>
  <si>
    <t>ESC-CAL-CONF-0009</t>
  </si>
  <si>
    <t>Detección de errores de autenticación</t>
  </si>
  <si>
    <t>Verificar que errores de autenticación se detecten correctamente.</t>
  </si>
  <si>
    <t>El piloto intenta iniciar sesión mientras el servicio de autenticación presenta un problema.</t>
  </si>
  <si>
    <t>La aplicación informa el error de forma controlada.</t>
  </si>
  <si>
    <t>Intenta iniciar sesión</t>
  </si>
  <si>
    <t>Error en Keycloak</t>
  </si>
  <si>
    <t>Se muestra mensaje de error claro</t>
  </si>
  <si>
    <t>Mensaje visible inmediatamente</t>
  </si>
  <si>
    <t>Manejo de errores en autenticación</t>
  </si>
  <si>
    <t>ESC-CAL-CONF-0010</t>
  </si>
  <si>
    <t>Manejo controlado de errores internos</t>
  </si>
  <si>
    <t>Verificar que errores internos no provoquen cierre inesperado de la aplicación.</t>
  </si>
  <si>
    <t>Durante el cálculo de datos ocurre un error interno en el sistema.</t>
  </si>
  <si>
    <t>La aplicación muestra un mensaje de error y continúa funcionando.</t>
  </si>
  <si>
    <t>Ocurre error interno</t>
  </si>
  <si>
    <t>Se muestra mensaje de error controlado</t>
  </si>
  <si>
    <t>Aplicación continúa funcionando</t>
  </si>
  <si>
    <t>Manejo de excepciones en backend</t>
  </si>
  <si>
    <t>ESC-CAL-CONFORM-0001</t>
  </si>
  <si>
    <t>Registro conforme de horas de vuelo</t>
  </si>
  <si>
    <t>Verificar que la aplicación registre las horas de vuelo de acuerdo con la normativa de aviación civil.</t>
  </si>
  <si>
    <t>El piloto registra un nuevo vuelo en la aplicación y el sistema almacena la información incluyendo horas de vuelo, fecha, aeronave y número de aterrizajes.</t>
  </si>
  <si>
    <t>Los datos registrados cumplen con los campos requeridos por la normativa.</t>
  </si>
  <si>
    <t>El sistema guarda la información requerida por regulación</t>
  </si>
  <si>
    <t>Todos los campos obligatorios quedan almacenados</t>
  </si>
  <si>
    <t>Validación de campos obligatorios en backend</t>
  </si>
  <si>
    <t>ESC-CAL-CONFORM-0002</t>
  </si>
  <si>
    <t>Verificación de límites operacionales regulatorios</t>
  </si>
  <si>
    <t>Verificar que el sistema controle los límites operacionales definidos por regulación.</t>
  </si>
  <si>
    <t>El piloto registra un vuelo que supera el límite de horas permitido por normativa.</t>
  </si>
  <si>
    <t>La aplicación genera una alerta indicando el incumplimiento regulatorio.</t>
  </si>
  <si>
    <t>Registra vuelo que supera límite permitido</t>
  </si>
  <si>
    <t>Se genera alerta informando el límite superado</t>
  </si>
  <si>
    <t>Alerta generada inmediatamente</t>
  </si>
  <si>
    <t>Validaciones regulatorias en backend</t>
  </si>
  <si>
    <t>Uso de constantes regulatorias en cálculos</t>
  </si>
  <si>
    <t>Verificar que los cálculos regulatorios utilicen los valores definidos por normativa.</t>
  </si>
  <si>
    <t>El sistema calcula las horas acumuladas del piloto utilizando los límites regulatorios definidos.</t>
  </si>
  <si>
    <t>Los cálculos utilizan correctamente los valores establecidos en el código.</t>
  </si>
  <si>
    <t>Calcula horas acumuladas del piloto</t>
  </si>
  <si>
    <t>El cálculo utiliza constantes regulatorias</t>
  </si>
  <si>
    <t>Valores utilizados coinciden con normativa</t>
  </si>
  <si>
    <t>Uso de constantes definidas en código</t>
  </si>
  <si>
    <t>ESC-CAL-CONFORM-0004</t>
  </si>
  <si>
    <t>Actualización de límites regulatorios en el sistema</t>
  </si>
  <si>
    <t>Verificar que los límites regulatorios puedan actualizarse fácilmente ante cambios normativos.</t>
  </si>
  <si>
    <t>Un desarrollador actualiza un valor de límite regulatorio en el código.</t>
  </si>
  <si>
    <t>El sistema utiliza el nuevo valor en los cálculos regulatorios.</t>
  </si>
  <si>
    <t>El sistema aplica el nuevo valor en cálculos</t>
  </si>
  <si>
    <t>Cálculos reflejan nuevo límite</t>
  </si>
  <si>
    <t>Uso de constantes centralizadas</t>
  </si>
  <si>
    <t>ESC-CAL-CONFORM-0005</t>
  </si>
  <si>
    <t>Autenticación segura de pilotos</t>
  </si>
  <si>
    <t>Verificar que el acceso al sistema esté protegido mediante autenticación segura.</t>
  </si>
  <si>
    <t>El piloto inicia sesión en la aplicación utilizando sus credenciales.</t>
  </si>
  <si>
    <t>El sistema valida la autenticación mediante Keycloak y genera un token JWT.</t>
  </si>
  <si>
    <t>El sistema valida credenciales y genera token JWT</t>
  </si>
  <si>
    <t>Acceso concedido solo si credenciales válidas</t>
  </si>
  <si>
    <t>Integración con Keycloak</t>
  </si>
  <si>
    <t>ESC-CAL-CONFORM-0006</t>
  </si>
  <si>
    <t>Protección de endpoints mediante validación de tokens</t>
  </si>
  <si>
    <t>Verificar que los endpoints del sistema estén protegidos contra accesos no autorizados.</t>
  </si>
  <si>
    <t>Un usuario intenta acceder a un endpoint de la API sin token válido.</t>
  </si>
  <si>
    <t>El sistema rechaza la solicitud.</t>
  </si>
  <si>
    <t>Intenta acceder a endpoint protegido</t>
  </si>
  <si>
    <t>El sistema rechaza la solicitud</t>
  </si>
  <si>
    <t>Respuesta HTTP 401 o 403 de forma controlada</t>
  </si>
  <si>
    <t>Validación de JWT en middleware</t>
  </si>
  <si>
    <t>ESC-CAL-CONFORM-0007</t>
  </si>
  <si>
    <t>Comunicación del propósito del registro de horas</t>
  </si>
  <si>
    <t>Verificar que la aplicación informe al piloto sobre la importancia del registro de horas.</t>
  </si>
  <si>
    <t>El piloto accede al módulo de registro de vuelos y la aplicación muestra un mensaje explicando el propósito del registro.</t>
  </si>
  <si>
    <t>El mensaje es visible y comprensible.</t>
  </si>
  <si>
    <t>Accede al módulo de registro de vuelos</t>
  </si>
  <si>
    <t>El sistema muestra mensaje informativo</t>
  </si>
  <si>
    <t>Mensaje visible antes del registro</t>
  </si>
  <si>
    <t>Uso de mensajes informativos en UI</t>
  </si>
  <si>
    <t>ESC-CAL-CONFORM-0008</t>
  </si>
  <si>
    <t>Advertencia sobre precisión de datos ingresados</t>
  </si>
  <si>
    <t>Verificar que el sistema advierta sobre la importancia de ingresar datos correctos.</t>
  </si>
  <si>
    <t>El piloto ingresa datos de vuelo en el formulario de registro.</t>
  </si>
  <si>
    <t>La aplicación muestra un mensaje recordando la importancia de la precisión de los datos.</t>
  </si>
  <si>
    <t>Ingresa datos de vuelo</t>
  </si>
  <si>
    <t>Se muestra mensaje de advertencia</t>
  </si>
  <si>
    <t>Mensaje visible antes de confirmar registro</t>
  </si>
  <si>
    <t>Mensajes de orientación en formularios</t>
  </si>
  <si>
    <t>ESC-CAL-DISP-0001</t>
  </si>
  <si>
    <t>Operación continua durante alta demanda</t>
  </si>
  <si>
    <t>Verificar que la aplicación continúe funcionando cuando múltiples pilotos acceden al sistema simultáneamente.</t>
  </si>
  <si>
    <t>Varios pilotos acceden al sistema al mismo tiempo para consultar sus horas de vuelo o registrar nuevas actividades.</t>
  </si>
  <si>
    <t>El sistema mantiene su funcionamiento sin interrupciones.</t>
  </si>
  <si>
    <t>Realizan consultas y registros simultáneamente</t>
  </si>
  <si>
    <t>El sistema procesa las solicitudes sin detener el servicio</t>
  </si>
  <si>
    <t>Tiempo de respuesta promedio menor a 3 segundos</t>
  </si>
  <si>
    <t>Arquitectura backend concurrente con Go</t>
  </si>
  <si>
    <t>ESC-CAL-DISP-0002</t>
  </si>
  <si>
    <t>Mantenimiento de servicio durante picos de uso</t>
  </si>
  <si>
    <t>Verificar que el sistema mantenga disponibilidad durante picos de uso.</t>
  </si>
  <si>
    <t>Durante un periodo de alta actividad varios pilotos acceden al sistema para consultar información.</t>
  </si>
  <si>
    <t>El sistema continúa respondiendo a las solicitudes sin caídas.</t>
  </si>
  <si>
    <t>Acceden simultáneamente al sistema</t>
  </si>
  <si>
    <t>Conectividad intermitente</t>
  </si>
  <si>
    <t>El sistema mantiene operación normal</t>
  </si>
  <si>
    <t>Servicio disponible durante todo el evento</t>
  </si>
  <si>
    <t>Manejo concurrente de solicitudes</t>
  </si>
  <si>
    <t>ESC-CAL-DISP-0003</t>
  </si>
  <si>
    <t>Respaldo de base de datos sin interrupción del servicio</t>
  </si>
  <si>
    <t>Verificar que la base de datos pueda generar copias de seguridad sin detener la aplicación.</t>
  </si>
  <si>
    <t>El sistema realiza un respaldo de la base de datos mientras los pilotos continúan usando la aplicación.</t>
  </si>
  <si>
    <t>El respaldo se realiza sin afectar el funcionamiento del sistema.</t>
  </si>
  <si>
    <t>Inicia copia de seguridad</t>
  </si>
  <si>
    <t>El respaldo se ejecuta sin detener el servicio</t>
  </si>
  <si>
    <t>Aplicación continúa disponible durante el respaldo</t>
  </si>
  <si>
    <t>Uso de herramientas de backup en MySQL</t>
  </si>
  <si>
    <t>ESC-CAL-DISP-0004</t>
  </si>
  <si>
    <t>Verificar que las copias de seguridad permitan recuperar la información correctamente.</t>
  </si>
  <si>
    <t>El administrador restaura una copia de seguridad para verificar la integridad de los datos.</t>
  </si>
  <si>
    <t>Los datos restaurados coinciden con los datos originales.</t>
  </si>
  <si>
    <t>Restaura copia de seguridad</t>
  </si>
  <si>
    <t>Datos restaurados correctamente</t>
  </si>
  <si>
    <t>Procedimientos de recuperación de base de datos</t>
  </si>
  <si>
    <t>ESC-CAL-DISP-0005</t>
  </si>
  <si>
    <t>Monitoreo del estado del servicio</t>
  </si>
  <si>
    <t>Verificar que el estado del sistema pueda ser monitoreado.</t>
  </si>
  <si>
    <t>Una herramienta de monitoreo consulta el endpoint /health del sistema.</t>
  </si>
  <si>
    <t>El sistema responde indicando su estado operativo.</t>
  </si>
  <si>
    <t>Sistema de monitoreo</t>
  </si>
  <si>
    <t>Consulta endpoint /health</t>
  </si>
  <si>
    <t>El sistema responde con estado del servicio</t>
  </si>
  <si>
    <t>Respuesta HTTP 200</t>
  </si>
  <si>
    <t>Endpoint de monitoreo implementado</t>
  </si>
  <si>
    <t>ESC-CAL-DISP-0006</t>
  </si>
  <si>
    <t>Recolección de métricas del sistema</t>
  </si>
  <si>
    <t>Verificar que el sistema proporcione métricas para monitoreo.</t>
  </si>
  <si>
    <t>Prometheus consulta el endpoint de métricas del sistema.</t>
  </si>
  <si>
    <t>Las métricas del sistema se muestran correctamente.</t>
  </si>
  <si>
    <t>Consulta endpoint de métricas</t>
  </si>
  <si>
    <t>El sistema expone métricas del servicio</t>
  </si>
  <si>
    <t>Métricas disponibles para monitoreo</t>
  </si>
  <si>
    <t>Integración con Prometheus</t>
  </si>
  <si>
    <t>ESC-CAL-DISP-0007</t>
  </si>
  <si>
    <t>Restauración rápida del sistema</t>
  </si>
  <si>
    <t>Verificar que el sistema pueda desplegarse automáticamente.</t>
  </si>
  <si>
    <t>Se ejecutan scripts de despliegue para iniciar todos los servicios del sistema.</t>
  </si>
  <si>
    <t>Todos los servicios se inician correctamente.</t>
  </si>
  <si>
    <t>Reinicia contenedores del sistema</t>
  </si>
  <si>
    <t>El sistema inicia todos los servicios</t>
  </si>
  <si>
    <t>Servicios disponibles después del despliegue</t>
  </si>
  <si>
    <t>Scripts automatizados</t>
  </si>
  <si>
    <t>ESC-CAL-DISP-0008</t>
  </si>
  <si>
    <t>Notificación de indisponibilidad del servicio</t>
  </si>
  <si>
    <t>Verificar que el sistema informe al piloto cuando el servicio no esté disponible.</t>
  </si>
  <si>
    <t>El piloto intenta acceder al sistema mientras el servicio está caído.</t>
  </si>
  <si>
    <t>La aplicación muestra un mensaje claro indicando la indisponibilidad.</t>
  </si>
  <si>
    <t>Intenta acceder al sistema</t>
  </si>
  <si>
    <t>Se muestra mensaje de error informando indisponibilidad</t>
  </si>
  <si>
    <t>Manejo de errores en cliente</t>
  </si>
  <si>
    <t>ESC-CAL-DISP-0009</t>
  </si>
  <si>
    <t>ESC-CAL-DISP-0010</t>
  </si>
  <si>
    <t>Reintento de operación después de fallo</t>
  </si>
  <si>
    <t>Verificar que el piloto pueda reintentar una operación cuando el servicio vuelva a estar disponible.</t>
  </si>
  <si>
    <t>El piloto intenta realizar una operación mientras el servicio se restablece.</t>
  </si>
  <si>
    <t>La aplicación permite reintentar la operación.</t>
  </si>
  <si>
    <t>Reintenta operación después de fallo</t>
  </si>
  <si>
    <t>La operación puede realizarse nuevamente</t>
  </si>
  <si>
    <t>Operación completada exitosamente</t>
  </si>
  <si>
    <t>Botón de reintento</t>
  </si>
  <si>
    <t>ESC-CAL-ESC-0001</t>
  </si>
  <si>
    <t>Escalamiento horizontal del sistema</t>
  </si>
  <si>
    <t>Verificar que el sistema pueda aumentar su capacidad agregando nuevas instancias.</t>
  </si>
  <si>
    <t>Escenario que simula un incremento en la cantidad de usuarios accediendo al sistema, lo que requiere desplegar nuevas instancias del backend mediante contenedores.</t>
  </si>
  <si>
    <t>El sistema agrega nuevas instancias y mantiene el rendimiento del servicio.</t>
  </si>
  <si>
    <t>Infraestructura del sistema</t>
  </si>
  <si>
    <t>Incremento de solicitudes de usuarios</t>
  </si>
  <si>
    <t>Prueba de carga</t>
  </si>
  <si>
    <t>El sistema despliega nuevas instancias del servicio</t>
  </si>
  <si>
    <t>Tiempo de respuesta menor a 3 segundos</t>
  </si>
  <si>
    <t>Escalamiento horizontal con contenedores</t>
  </si>
  <si>
    <t>ESC-CAL-ESC-0002</t>
  </si>
  <si>
    <t>Distribución de carga entre instancias</t>
  </si>
  <si>
    <t>Verificar que las solicitudes se distribuyan entre múltiples instancias.</t>
  </si>
  <si>
    <t>Escenario que simula múltiples usuarios accediendo simultáneamente al sistema y distribuyendo las solicitudes entre las instancias disponibles.</t>
  </si>
  <si>
    <t>Las solicitudes se distribuyen correctamente sin sobrecargar una sola instancia.</t>
  </si>
  <si>
    <t>Acceso simultáneo de múltiples pilotos</t>
  </si>
  <si>
    <t>Operación normal con carga moderada</t>
  </si>
  <si>
    <t>El sistema distribuye las solicitudes entre instancias</t>
  </si>
  <si>
    <t>Carga balanceada entre instancias</t>
  </si>
  <si>
    <t>Balanceador de carga</t>
  </si>
  <si>
    <t>ESC-CAL-ESC-0003</t>
  </si>
  <si>
    <t>Consulta eficiente con grandes volúmenes de datos</t>
  </si>
  <si>
    <t>Verificar que el sistema mantenga tiempos de respuesta adecuados cuando la base de datos crece.</t>
  </si>
  <si>
    <t>Escenario que evalúa el comportamiento del sistema cuando el historial de vuelos y registros de pilotos aumenta considerablemente.</t>
  </si>
  <si>
    <t>Las consultas de resúmenes y alertas mantienen tiempos de respuesta aceptables.</t>
  </si>
  <si>
    <t>Crecimiento del historial de vuelos</t>
  </si>
  <si>
    <t>El sistema ejecuta consultas sin degradación significativa</t>
  </si>
  <si>
    <t>Tiempo de consulta menor a 3 segundos</t>
  </si>
  <si>
    <t>Indexación de tablas</t>
  </si>
  <si>
    <t>ESC-CAL-ESC-0004</t>
  </si>
  <si>
    <t>Optimización de consultas con gran volumen de datos</t>
  </si>
  <si>
    <t>Verificar que el sistema mantenga rendimiento en consultas complejas.</t>
  </si>
  <si>
    <t>Escenario que evalúa consultas de resúmenes y alertas cuando la base de datos contiene una gran cantidad de registros.</t>
  </si>
  <si>
    <t>Las consultas se ejecutan sin afectar el rendimiento general del sistema.</t>
  </si>
  <si>
    <t>Consulta de grandes volúmenes de datos</t>
  </si>
  <si>
    <t>El sistema optimiza las consultas</t>
  </si>
  <si>
    <t>Consultas ejecutadas en tiempo aceptable</t>
  </si>
  <si>
    <t>Optimización SQL</t>
  </si>
  <si>
    <t>ESC-CAL-ESC-0005</t>
  </si>
  <si>
    <t>Prueba de carga del sistema</t>
  </si>
  <si>
    <t>Evaluar el comportamiento del sistema cuando muchos usuarios acceden simultáneamente.</t>
  </si>
  <si>
    <t>Escenario que simula múltiples usuarios accediendo al sistema al mismo tiempo para evaluar el rendimiento del sistema.</t>
  </si>
  <si>
    <t>El sistema continúa funcionando correctamente durante la prueba.</t>
  </si>
  <si>
    <t>Equipo de pruebas</t>
  </si>
  <si>
    <t>El sistema procesa múltiples solicitudes</t>
  </si>
  <si>
    <t>Sistema estable durante la prueba</t>
  </si>
  <si>
    <t>Herramientas de pruebas de carga</t>
  </si>
  <si>
    <t>ESC-CAL-ESC-0006</t>
  </si>
  <si>
    <t>Prueba de estrés del sistema</t>
  </si>
  <si>
    <t>Evaluar el comportamiento del sistema cuando se supera la carga esperada.</t>
  </si>
  <si>
    <t>Escenario que simula una cantidad de usuarios superior a la esperada para analizar la estabilidad del sistema.</t>
  </si>
  <si>
    <t>El sistema mantiene estabilidad sin fallos críticos.</t>
  </si>
  <si>
    <t>El sistema continúa funcionando con degradación controlada</t>
  </si>
  <si>
    <t>No se presentan caídas del sistema</t>
  </si>
  <si>
    <t>Pruebas de estrés</t>
  </si>
  <si>
    <t>ESC-CAL-ESC-0007</t>
  </si>
  <si>
    <t>Procesamiento concurrente de consultas</t>
  </si>
  <si>
    <t>Verificar que el backend procese múltiples solicitudes simultáneamente.</t>
  </si>
  <si>
    <t>Escenario que simula varios pilotos consultando sus horas de vuelo y alertas al mismo tiempo.</t>
  </si>
  <si>
    <t>El sistema procesa todas las solicitudes sin errores ni pérdida de datos.</t>
  </si>
  <si>
    <t>Pilotos</t>
  </si>
  <si>
    <t>Consultas simultáneas de horas de vuelo</t>
  </si>
  <si>
    <t>El sistema procesa solicitudes concurrentes</t>
  </si>
  <si>
    <t>Todas las consultas se procesan correctamente</t>
  </si>
  <si>
    <t>Uso de goroutines</t>
  </si>
  <si>
    <t>ESC-CAL-ESC-0008</t>
  </si>
  <si>
    <t>Verificar que un error en una solicitud no afecte a las demás.</t>
  </si>
  <si>
    <t>Escenario que simula múltiples consultas concurrentes donde una de ellas genera un error.</t>
  </si>
  <si>
    <t>Las demás solicitudes continúan procesándose normalmente.</t>
  </si>
  <si>
    <t>Error en una solicitud concurrente</t>
  </si>
  <si>
    <t>El sistema aísla la solicitud con error</t>
  </si>
  <si>
    <t>Las demás solicitudes continúan funcionando</t>
  </si>
  <si>
    <t>Manejo de concurrencia</t>
  </si>
  <si>
    <t>Experiencia de Usuario</t>
  </si>
  <si>
    <t>ESC-CAL-UX-0001</t>
  </si>
  <si>
    <t>Consistencia visual con la identidad de marca</t>
  </si>
  <si>
    <t>Verificar que la interfaz de la aplicación mantenga coherencia visual con la identidad de la marca.</t>
  </si>
  <si>
    <t>Escenario que evalúa si los elementos visuales de la interfaz (colores, tipografía e iconografía) siguen el sistema de diseño definido.</t>
  </si>
  <si>
    <t>La interfaz mantiene una apariencia consistente alineada con la identidad visual.</t>
  </si>
  <si>
    <t>Piloto que utiliza la aplicación en uso diario.</t>
  </si>
  <si>
    <t>Navega por diferentes secciones del sistema</t>
  </si>
  <si>
    <t>La aplicación mantiene consistencia visual</t>
  </si>
  <si>
    <t>Elementos visuales uniformes en todas las pantallas</t>
  </si>
  <si>
    <t>Uso de sistema de diseño</t>
  </si>
  <si>
    <t>ESC-CAL-UX-0002</t>
  </si>
  <si>
    <t>Validación de consistencia visual</t>
  </si>
  <si>
    <t>Verificar que las nuevas pantallas respeten la identidad visual.</t>
  </si>
  <si>
    <t>Escenario que analiza nuevas interfaces agregadas al sistema verificando que sigan el mismo sistema de diseño.</t>
  </si>
  <si>
    <t>Las nuevas pantallas mantienen coherencia visual.</t>
  </si>
  <si>
    <t>Equipo de diseño</t>
  </si>
  <si>
    <t>Revisión de nueva interfaz</t>
  </si>
  <si>
    <t>La interfaz respeta el sistema de diseño</t>
  </si>
  <si>
    <t>Cumplimiento de guías visuales</t>
  </si>
  <si>
    <t>Guía de estilo</t>
  </si>
  <si>
    <t>ESC-CAL-UX-0003</t>
  </si>
  <si>
    <t>Navegación consistente en la aplicación</t>
  </si>
  <si>
    <t>Verificar que los usuarios encuentren fácilmente las funciones del sistema.</t>
  </si>
  <si>
    <t>Escenario que evalúa la navegación del piloto a través de diferentes secciones del sistema.</t>
  </si>
  <si>
    <t>Los menús y controles se encuentran siempre en ubicaciones predecibles.</t>
  </si>
  <si>
    <t>Navega entre secciones</t>
  </si>
  <si>
    <t>El sistema mantiene estructura de navegación consistente</t>
  </si>
  <si>
    <t>Usuario encuentra opciones rápidamente</t>
  </si>
  <si>
    <t>Diseño de navegación consistente</t>
  </si>
  <si>
    <t>ESC-CAL-UX-0004</t>
  </si>
  <si>
    <t>Ubicación predecible de controles</t>
  </si>
  <si>
    <t>Verificar que los controles principales mantengan la misma ubicación.</t>
  </si>
  <si>
    <t>Escenario que analiza si los botones y menús mantienen su posición entre diferentes pantallas.</t>
  </si>
  <si>
    <t>Los usuarios identifican rápidamente los controles.</t>
  </si>
  <si>
    <t>Interacción con controles</t>
  </si>
  <si>
    <t>Controles ubicados consistentemente</t>
  </si>
  <si>
    <t>Reducción del tiempo de navegación</t>
  </si>
  <si>
    <t>Diseño de interfaz consistente</t>
  </si>
  <si>
    <t>ESC-CAL-UX-0005</t>
  </si>
  <si>
    <t>Optimización de tareas frecuentes</t>
  </si>
  <si>
    <t>Verificar que las tareas comunes se realicen con pocos pasos.</t>
  </si>
  <si>
    <t>Escenario que analiza el proceso que sigue un piloto para registrar una actividad de vuelo.</t>
  </si>
  <si>
    <t>La tarea se completa en pocos pasos.</t>
  </si>
  <si>
    <t>Registra una actividad de vuelo</t>
  </si>
  <si>
    <t>El sistema permite completar la tarea rápidamente</t>
  </si>
  <si>
    <t>Menos de 5 pasos para completar tarea</t>
  </si>
  <si>
    <t>Optimización de flujos</t>
  </si>
  <si>
    <t>ESC-CAL-UX-0006</t>
  </si>
  <si>
    <t>Reducción de pasos en tareas</t>
  </si>
  <si>
    <t>Reducir pasos innecesarios.</t>
  </si>
  <si>
    <t>Escenario que evalúa si existen pasos redundantes en procesos frecuentes.</t>
  </si>
  <si>
    <t>Los pasos innecesarios se eliminan.</t>
  </si>
  <si>
    <t>Realiza una tarea frecuente</t>
  </si>
  <si>
    <t>El sistema simplifica el proceso</t>
  </si>
  <si>
    <t>Reducción de pasos</t>
  </si>
  <si>
    <t>Diseño centrado en usuario</t>
  </si>
  <si>
    <t>ESC-CAL-UX-0007</t>
  </si>
  <si>
    <t>Interfaz clara sin sobrecarga visual</t>
  </si>
  <si>
    <t>Verificar que la interfaz de la aplicación presente únicamente la información necesaria para la interacción del piloto.</t>
  </si>
  <si>
    <t>Escenario que evalúa la interfaz del sistema cuando el piloto consulta información o realiza una operación, verificando que no existan elementos innecesarios que dificulten la interacción.</t>
  </si>
  <si>
    <t>La interfaz presenta solo la información relevante y permite una interacción clara y sencilla.</t>
  </si>
  <si>
    <t>Accede a una sección del sistema</t>
  </si>
  <si>
    <t>La interfaz muestra únicamente elementos necesarios</t>
  </si>
  <si>
    <t>Interfaz clara sin saturación visual</t>
  </si>
  <si>
    <t>Diseño de interfaz minimalista</t>
  </si>
  <si>
    <t>ESC-CAL-UX-0008</t>
  </si>
  <si>
    <t>Reducción de elementos innecesarios en la interfaz</t>
  </si>
  <si>
    <t>Verificar que los elementos innecesarios puedan ser identificados y eliminados en la interfaz.</t>
  </si>
  <si>
    <t>Escenario que evalúa una revisión de la interfaz para identificar elementos visuales que no aportan valor a la interacción del usuario.</t>
  </si>
  <si>
    <t>Los elementos innecesarios se eliminan o simplifican.</t>
  </si>
  <si>
    <t>Revisión de la interfaz</t>
  </si>
  <si>
    <t>Se eliminan o simplifican elementos innecesarios</t>
  </si>
  <si>
    <t>Interfaz más clara y fácil de usar</t>
  </si>
  <si>
    <t>Simplificación de interfaz</t>
  </si>
  <si>
    <t>ESC-CAL-UX-0009</t>
  </si>
  <si>
    <t>Claridad de etiquetas en la interfaz</t>
  </si>
  <si>
    <t>Verificar que los textos y etiquetas permitan comprender fácilmente la función de cada elemento de la interfaz.</t>
  </si>
  <si>
    <t>Escenario que evalúa la interacción de un piloto con diferentes elementos de la interfaz verificando que los textos y labels expliquen claramente su función.</t>
  </si>
  <si>
    <t>El piloto comprende la función de cada elemento sin necesidad de asistencia adicional.</t>
  </si>
  <si>
    <t>Interactúa con botones y campos</t>
  </si>
  <si>
    <t>La aplicación presenta textos descriptivos claros</t>
  </si>
  <si>
    <t>Usuario comprende función de cada elemento</t>
  </si>
  <si>
    <t>Uso de labels descriptivos</t>
  </si>
  <si>
    <t>ESC-CAL-UX-0010</t>
  </si>
  <si>
    <t>Guía textual para el usuario</t>
  </si>
  <si>
    <t>Verificar que la aplicación ofrezca orientación textual en las secciones del sistema.</t>
  </si>
  <si>
    <t>Escenario que analiza la presencia de textos explicativos o ayudas contextuales que orienten al piloto sobre el uso del sistema.</t>
  </si>
  <si>
    <t>Los textos ayudan al usuario a comprender el funcionamiento de la interfaz.</t>
  </si>
  <si>
    <t>El sistema presenta textos de ayuda</t>
  </si>
  <si>
    <t>Usuario comprende el uso de la sección</t>
  </si>
  <si>
    <t>Textos explicativos</t>
  </si>
  <si>
    <t>ESC-CAL-UX-0011</t>
  </si>
  <si>
    <t>Tiempo de respuesta adecuado en interacción del usuario</t>
  </si>
  <si>
    <t>Verificar que las acciones realizadas por el piloto reciban una respuesta rápida del sistema.</t>
  </si>
  <si>
    <t>Escenario que evalúa el tiempo de respuesta del sistema cuando el piloto realiza consultas o registra información en la aplicación.</t>
  </si>
  <si>
    <t>El sistema responde de manera ágil evitando retrasos perceptibles.</t>
  </si>
  <si>
    <t>Realiza una consulta o registro</t>
  </si>
  <si>
    <t>El sistema procesa la solicitud rápidamente</t>
  </si>
  <si>
    <t>Optimización de rendimiento</t>
  </si>
  <si>
    <t>ESC-CAL-UX-0012</t>
  </si>
  <si>
    <t>Notificación de espera en operaciones lentas</t>
  </si>
  <si>
    <t>Verificar que el sistema informe al usuario cuando una operación requiere más tiempo.</t>
  </si>
  <si>
    <t>Escenario que analiza el comportamiento de la interfaz cuando una operación tarda más de lo esperado.</t>
  </si>
  <si>
    <t>La aplicación informa al usuario que la operación está en proceso.</t>
  </si>
  <si>
    <t>Ejecuta una operación que tarda en completarse</t>
  </si>
  <si>
    <t>El sistema muestra indicador de carga</t>
  </si>
  <si>
    <t>Usuario informado del progreso</t>
  </si>
  <si>
    <t>Indicadores de carga</t>
  </si>
  <si>
    <t>ESC-CAL-UX-0013</t>
  </si>
  <si>
    <t>Legibilidad visual de la interfaz</t>
  </si>
  <si>
    <t>Verificar que los textos y elementos visuales sean fáciles de leer.</t>
  </si>
  <si>
    <t>Escenario que evalúa la visualización de textos e información en la interfaz verificando que los tamaños de fuente y el contraste sean adecuados.</t>
  </si>
  <si>
    <t>Los usuarios pueden leer la información fácilmente sin dificultad visual.</t>
  </si>
  <si>
    <t>Visualiza información en pantalla</t>
  </si>
  <si>
    <t>La interfaz presenta textos claros y legibles</t>
  </si>
  <si>
    <t>Lectura sin dificultad</t>
  </si>
  <si>
    <t>Diseño accesible</t>
  </si>
  <si>
    <t>ESC-CAL-UX-0014</t>
  </si>
  <si>
    <t>Validación de contraste visual</t>
  </si>
  <si>
    <t>Verificar que los colores utilizados permitan distinguir correctamente la información.</t>
  </si>
  <si>
    <t>Escenario que analiza el contraste entre texto y fondo en la interfaz.</t>
  </si>
  <si>
    <t>El contraste permite diferenciar claramente los elementos visuales.</t>
  </si>
  <si>
    <t>Observa información en pantalla</t>
  </si>
  <si>
    <t>El sistema presenta colores con alto contraste</t>
  </si>
  <si>
    <t>Elementos visuales claramente distinguibles</t>
  </si>
  <si>
    <t>Uso de contraste adecuado</t>
  </si>
  <si>
    <t>ESC-CAL-UX-0015</t>
  </si>
  <si>
    <t>Retroalimentación inmediata de acciones</t>
  </si>
  <si>
    <t>Verificar que el sistema informe al usuario el resultado de sus acciones.</t>
  </si>
  <si>
    <t>Escenario que evalúa la respuesta del sistema cuando el piloto realiza una acción como guardar o actualizar información.</t>
  </si>
  <si>
    <t>La aplicación muestra un mensaje indicando el resultado de la acción.</t>
  </si>
  <si>
    <t>Guarda información en el sistema</t>
  </si>
  <si>
    <t>El sistema muestra mensaje de éxito o error</t>
  </si>
  <si>
    <t>Mensajes de retroalimentación</t>
  </si>
  <si>
    <t>ESC-CAL-UX-0016</t>
  </si>
  <si>
    <t>Retroalimentación en operaciones en progreso</t>
  </si>
  <si>
    <t>Verificar que el sistema informe cuando una acción está en proceso.</t>
  </si>
  <si>
    <t>Escenario que evalúa la interacción cuando el sistema tarda en completar una acción.</t>
  </si>
  <si>
    <t>El sistema informa al usuario que la acción está en progreso.</t>
  </si>
  <si>
    <t>Ejecuta una operación</t>
  </si>
  <si>
    <t>El sistema muestra indicador de progreso</t>
  </si>
  <si>
    <t>Usuario informado del estado</t>
  </si>
  <si>
    <t>Indicadores visuales</t>
  </si>
  <si>
    <t>ESC-CAL-UX-0017</t>
  </si>
  <si>
    <t>Consistencia visual entre pantallas</t>
  </si>
  <si>
    <t>Verificar que las diferentes pantallas mantengan el mismo sistema de diseño.</t>
  </si>
  <si>
    <t>Escenario que evalúa varias pantallas del sistema verificando que utilicen los mismos estilos visuales.</t>
  </si>
  <si>
    <t>Todas las pantallas utilizan el mismo sistema de diseño.</t>
  </si>
  <si>
    <t>El sistema mantiene estilos visuales consistentes</t>
  </si>
  <si>
    <t>Misma tipografía y colores</t>
  </si>
  <si>
    <t>Sistema de diseño</t>
  </si>
  <si>
    <t>ESC-CAL-UX-0018</t>
  </si>
  <si>
    <t>Aplicación uniforme del sistema de diseño</t>
  </si>
  <si>
    <t>Verificar que nuevas pantallas respeten el sistema de diseño.</t>
  </si>
  <si>
    <t>Escenario que analiza una nueva sección del sistema verificando la aplicación del sistema de diseño.</t>
  </si>
  <si>
    <t>La nueva pantalla sigue las guías visuales establecidas.</t>
  </si>
  <si>
    <t>Equipo de desarrollo</t>
  </si>
  <si>
    <t>Implementa nueva pantalla</t>
  </si>
  <si>
    <t>La pantalla respeta el sistema de diseño</t>
  </si>
  <si>
    <t>Guía de estilos</t>
  </si>
  <si>
    <t>ESC-CAL-UX-0019</t>
  </si>
  <si>
    <t>Consistencia entre dispositivos</t>
  </si>
  <si>
    <t>Verificar que la experiencia del usuario sea similar en diferentes dispositivos.</t>
  </si>
  <si>
    <t>Escenario que evalúa el uso del sistema en dispositivos como computador, tablet o móvil.</t>
  </si>
  <si>
    <t>La interfaz mantiene estructura y funcionalidad consistente.</t>
  </si>
  <si>
    <t>Accede desde distintos dispositivos</t>
  </si>
  <si>
    <t>El sistema adapta la interfaz al dispositivo</t>
  </si>
  <si>
    <t>Experiencia consistente</t>
  </si>
  <si>
    <t>Diseño responsive</t>
  </si>
  <si>
    <t>ESC-CAL-UX-0020</t>
  </si>
  <si>
    <t>Adaptación de interfaz a diferentes resoluciones</t>
  </si>
  <si>
    <t>Verificar que la interfaz se adapte correctamente a diferentes tamaños de pantalla.</t>
  </si>
  <si>
    <t>Escenario que evalúa el comportamiento de la interfaz en diferentes resoluciones de pantalla.</t>
  </si>
  <si>
    <t>Los elementos visuales se ajustan correctamente a cada dispositivo.</t>
  </si>
  <si>
    <t>Accede desde diferentes resoluciones</t>
  </si>
  <si>
    <t>La interfaz se adapta automáticamente</t>
  </si>
  <si>
    <t>Elementos visibles correctamente</t>
  </si>
  <si>
    <t>Diseño adaptable</t>
  </si>
  <si>
    <t>ESC-CAL-INOP-0001</t>
  </si>
  <si>
    <t>Integración exitosa con Keycloak para autenticación</t>
  </si>
  <si>
    <t>Verificar que la comunicación entre la aplicación y el servidor Keycloak funciona correctamente para todas las operaciones de autenticación.</t>
  </si>
  <si>
    <t>El piloto realiza operaciones de login, registro, verificación de email y cambio de contraseña. Todas estas operaciones se comunican con Keycloak exitosamente.</t>
  </si>
  <si>
    <t>Todas las operaciones de autenticación se completan correctamente con Keycloak como proveedor de identidad.</t>
  </si>
  <si>
    <t>Piloto que realiza operaciones de autenticación.</t>
  </si>
  <si>
    <t>El piloto ejecuta el flujo completo: registrarse → verificar email → login → cambiar contraseña.</t>
  </si>
  <si>
    <t>Sistema (API + Keycloak)</t>
  </si>
  <si>
    <t>Cada paso del flujo se completa exitosamente: registro crea usuario en Keycloak, verificación valida el token, login genera JWT, cambio de contraseña actualiza Keycloak.</t>
  </si>
  <si>
    <t>Todas las operaciones retornan status 200/201. Token JWT válido generado. Sesión activa verificable.</t>
  </si>
  <si>
    <t>Integración via OIDC con Keycloak. Endpoints: /register, /login, /auth/verify-email, /auth/change-password, /auth/password-reset, /auth/refresh. Validación de schemas JSON por endpoint. Cookie HttpOnly para transporte seguro (platform/cookie/cookie.go).</t>
  </si>
  <si>
    <t>ESC-CAL-INOP-0002</t>
  </si>
  <si>
    <t>Registro y verificación de usuario mediante Keycloak</t>
  </si>
  <si>
    <t>Verificar que el proceso de registro y verificación de correo funcione correctamente.</t>
  </si>
  <si>
    <t>Escenario que evalúa el registro de un nuevo piloto en la aplicación y la verificación de su correo electrónico mediante Keycloak.</t>
  </si>
  <si>
    <t>El usuario completa el registro y verifica su correo correctamente.</t>
  </si>
  <si>
    <t>Se registra en la aplicación</t>
  </si>
  <si>
    <t>El sistema crea la cuenta y solicita verificación de correo</t>
  </si>
  <si>
    <t>Usuario registrado y verificado</t>
  </si>
  <si>
    <t>Gestión de identidad con Keycloak</t>
  </si>
  <si>
    <t>ESC-CAL-INOP-0003</t>
  </si>
  <si>
    <t>Verificar que la autenticación utilice tokens seguros para proteger la sesión del usuario.</t>
  </si>
  <si>
    <t>Escenario que evalúa la comunicación entre la aplicación y el servidor de autenticación durante el proceso de inicio de sesión.</t>
  </si>
  <si>
    <t>La autenticación utiliza tokens JWT válidos y protegidos.</t>
  </si>
  <si>
    <t>Validación de token JWT</t>
  </si>
  <si>
    <t>El sistema valida el token recibido</t>
  </si>
  <si>
    <t>Token válido permite acceso</t>
  </si>
  <si>
    <t>Autenticación con JWT</t>
  </si>
  <si>
    <t>ESC-CAL-INOP-0004</t>
  </si>
  <si>
    <t>Protección de sesión con cookies HttpOnly</t>
  </si>
  <si>
    <t>Verificar que la sesión del usuario esté protegida contra accesos no autorizados.</t>
  </si>
  <si>
    <t>Escenario que evalúa el almacenamiento del token de autenticación en cookies seguras para evitar accesos indebidos.</t>
  </si>
  <si>
    <t>El token se almacena en cookies HttpOnly y no puede ser accedido por scripts del navegador.</t>
  </si>
  <si>
    <t>Generación de sesión autenticada</t>
  </si>
  <si>
    <t>El sistema guarda el token en cookie segura</t>
  </si>
  <si>
    <t>Cookie configurada como HttpOnly</t>
  </si>
  <si>
    <t>Uso de cookies seguras</t>
  </si>
  <si>
    <t>ESC-CAL-INOP-0005</t>
  </si>
  <si>
    <t>Verificar que la aplicación funcione correctamente en diferentes plataformas.</t>
  </si>
  <si>
    <t>Escenario que evalúa el acceso de pilotos desde diferentes dispositivos utilizando la aplicación móvil o web.</t>
  </si>
  <si>
    <t>Los usuarios acceden al sistema y utilizan sus funciones desde cualquier plataforma.</t>
  </si>
  <si>
    <t>Accede desde Android, iOS o Web</t>
  </si>
  <si>
    <t>El sistema se conecta al backend mediante API REST</t>
  </si>
  <si>
    <t>Acceso exitoso desde todas las plataformas</t>
  </si>
  <si>
    <t>Arquitectura cliente-servidor</t>
  </si>
  <si>
    <t>ESC-CAL-INOP-0006</t>
  </si>
  <si>
    <t>Consistencia de funcionamiento entre plataformas</t>
  </si>
  <si>
    <t>Verificar que las funcionalidades del sistema sean consistentes en diferentes dispositivos.</t>
  </si>
  <si>
    <t>Escenario que evalúa el uso de una misma funcionalidad del sistema desde diferentes plataformas.</t>
  </si>
  <si>
    <t>La funcionalidad se ejecuta de la misma manera en todas las plataformas.</t>
  </si>
  <si>
    <t>Utiliza la misma funcionalidad en distintos dispositivos</t>
  </si>
  <si>
    <t>El sistema ejecuta correctamente la funcionalidad</t>
  </si>
  <si>
    <t>Resultado consistente entre plataformas</t>
  </si>
  <si>
    <t>Desarrollo multiplataforma</t>
  </si>
  <si>
    <t>ESC-CAL-REN-0001</t>
  </si>
  <si>
    <t>Uso eficiente de recursos del servidor</t>
  </si>
  <si>
    <t>Verificar que el backend utilice eficientemente CPU y memoria durante la operación.</t>
  </si>
  <si>
    <t>Escenario que evalúa el comportamiento del backend cuando múltiples solicitudes son procesadas simultáneamente utilizando Go con Gin framework y pool de conexiones MySQL.</t>
  </si>
  <si>
    <t>El sistema procesa solicitudes manteniendo bajo consumo de recursos.</t>
  </si>
  <si>
    <t>Pilotos del sistema</t>
  </si>
  <si>
    <t>Realizan múltiples solicitudes al sistema</t>
  </si>
  <si>
    <t>El sistema procesa solicitudes eficientemente</t>
  </si>
  <si>
    <t>Uso de CPU y memoria dentro de límites aceptables</t>
  </si>
  <si>
    <t>Uso de pool de conexiones</t>
  </si>
  <si>
    <t>ESC-CAL-REN-0002</t>
  </si>
  <si>
    <t>Gestión eficiente de conexiones a base de datos</t>
  </si>
  <si>
    <t>Verificar que el sistema administre adecuadamente las conexiones a la base de datos.</t>
  </si>
  <si>
    <t>Escenario que evalúa el comportamiento del sistema cuando múltiples consultas requieren acceso a la base de datos.</t>
  </si>
  <si>
    <t>Las conexiones se reutilizan eficientemente mediante pool de conexiones.</t>
  </si>
  <si>
    <t>Múltiples consultas simultáneas a la base de datos</t>
  </si>
  <si>
    <t>El sistema reutiliza conexiones existentes</t>
  </si>
  <si>
    <t>Reducción en creación de nuevas conexiones</t>
  </si>
  <si>
    <t>Pool de conexiones</t>
  </si>
  <si>
    <t>ESC-CAL-REN-0003</t>
  </si>
  <si>
    <t>Consulta eficiente del historial de vuelos</t>
  </si>
  <si>
    <t>Verificar que el sistema mantenga tiempos de respuesta adecuados al consultar el historial de vuelos.</t>
  </si>
  <si>
    <t>Escenario que evalúa la consulta del historial de vuelos de un piloto cuando el número de registros aumenta.</t>
  </si>
  <si>
    <t>El sistema mantiene tiempos de respuesta estables.</t>
  </si>
  <si>
    <t>Consulta su historial de vuelos</t>
  </si>
  <si>
    <t>El sistema recupera los registros eficientemente</t>
  </si>
  <si>
    <t>Tiempo de consulta menor a 2 segundos</t>
  </si>
  <si>
    <t>Indexación de datos</t>
  </si>
  <si>
    <t>ESC-CAL-REN-0004</t>
  </si>
  <si>
    <t>Verificar que las consultas mantengan buen rendimiento con grandes cantidades de registros.</t>
  </si>
  <si>
    <t>Escenario que evalúa la consulta de un historial de vuelos extenso en la base de datos.</t>
  </si>
  <si>
    <t>Las consultas mantienen tiempos de respuesta adecuados.</t>
  </si>
  <si>
    <t>Consulta historial extenso</t>
  </si>
  <si>
    <t>Tiempo de respuesta estable</t>
  </si>
  <si>
    <t>ESC-CAL-REN-0005</t>
  </si>
  <si>
    <t>Tiempo de respuesta del sistema</t>
  </si>
  <si>
    <t>Verificar que las solicitudes del usuario sean procesadas rápidamente.</t>
  </si>
  <si>
    <t>Escenario que evalúa el tiempo de respuesta del sistema cuando un piloto realiza una consulta o registro en la aplicación.</t>
  </si>
  <si>
    <t>La información de alertas y resumen se muestra completa en un tiempo razonable.</t>
  </si>
  <si>
    <t>Tiempo de respuesta menor a 2 segundos</t>
  </si>
  <si>
    <t>Optimización del backend</t>
  </si>
  <si>
    <t>ESC-CAL-REN-0006</t>
  </si>
  <si>
    <t>Degradación controlada del rendimiento</t>
  </si>
  <si>
    <t>Verificar el comportamiento del sistema cuando aumenta la carga.</t>
  </si>
  <si>
    <t>Escenario que evalúa el tiempo de respuesta del sistema cuando se incrementa el número de solicitudes simultáneas.</t>
  </si>
  <si>
    <t>El sistema mantiene tiempos de respuesta aceptables sin fallos.</t>
  </si>
  <si>
    <t>Incremento de solicitudes</t>
  </si>
  <si>
    <t>El sistema mantiene funcionamiento estable</t>
  </si>
  <si>
    <t>Tiempo de respuesta dentro de límites aceptables</t>
  </si>
  <si>
    <t>Manejo concurrente</t>
  </si>
  <si>
    <t>ESC-CAL-REN-0007</t>
  </si>
  <si>
    <t>Optimización de consultas de resumen</t>
  </si>
  <si>
    <t>Verificar que las consultas de resumen se ejecuten eficientemente.</t>
  </si>
  <si>
    <t>Escenario que evalúa la generación de resúmenes de horas de vuelo y alertas regulatorias mediante consultas SQL agregadas.</t>
  </si>
  <si>
    <t>Las consultas se ejecutan en tiempos adecuados.</t>
  </si>
  <si>
    <t>Solicita resumen de horas de vuelo</t>
  </si>
  <si>
    <t>El sistema ejecuta consulta optimizada</t>
  </si>
  <si>
    <t>Uso de agregación SQL</t>
  </si>
  <si>
    <t>ESC-CAL-REN-0008</t>
  </si>
  <si>
    <t>Consulta eficiente de alertas regulatorias</t>
  </si>
  <si>
    <t>Verificar que el cálculo de alertas regulatorias sea eficiente.</t>
  </si>
  <si>
    <t>Escenario que evalúa el cálculo de alertas regulatorias basadas en horas de vuelo registradas.</t>
  </si>
  <si>
    <t>El sistema genera las alertas rápidamente.</t>
  </si>
  <si>
    <t>Solicita ver alertas regulatorias</t>
  </si>
  <si>
    <t>El sistema calcula alertas eficientemente</t>
  </si>
  <si>
    <t>Alertas generadas en menos de 2 segundos</t>
  </si>
  <si>
    <t>Optimización de consultas</t>
  </si>
  <si>
    <t>ESC-CAL-REN-0009</t>
  </si>
  <si>
    <t>Verificar que el sistema permita monitorear su rendimiento.</t>
  </si>
  <si>
    <t>Escenario que evalúa la recolección de métricas del servidor mediante Prometheus.</t>
  </si>
  <si>
    <t>Las métricas del sistema son recolectadas correctamente.</t>
  </si>
  <si>
    <t>El sistema expone métricas de rendimiento</t>
  </si>
  <si>
    <t>ESC-CAL-REN-0010</t>
  </si>
  <si>
    <t>Monitoreo sin impacto en el rendimiento</t>
  </si>
  <si>
    <t>Verificar que la recolección de métricas no afecte el desempeño del sistema.</t>
  </si>
  <si>
    <t>Escenario que evalúa el comportamiento del sistema mientras Prometheus recolecta métricas del servidor.</t>
  </si>
  <si>
    <t>El monitoreo no afecta la experiencia del usuario.</t>
  </si>
  <si>
    <t>Recolección continua de métricas</t>
  </si>
  <si>
    <t>El sistema expone métricas sin afectar el servicio</t>
  </si>
  <si>
    <t>Rendimiento del sistema estable</t>
  </si>
  <si>
    <t>Monitoreo eficiente</t>
  </si>
  <si>
    <t>ESC-CAL-SEG-0001</t>
  </si>
  <si>
    <t>Autenticación de usuarios mediante credenciales</t>
  </si>
  <si>
    <t>Verificar que el sistema permita la autenticación de pilotos mediante credenciales válidas.</t>
  </si>
  <si>
    <t>Escenario que evalúa el proceso de inicio de sesión de un piloto cuando introduce su nombre de usuario y contraseña en la aplicación.</t>
  </si>
  <si>
    <t>El usuario se autentica correctamente y accede al sistema.</t>
  </si>
  <si>
    <t>Introduce usuario y contraseña</t>
  </si>
  <si>
    <t>El sistema valida las credenciales</t>
  </si>
  <si>
    <t>Acceso exitoso al sistema</t>
  </si>
  <si>
    <t>Validación segura de credenciales</t>
  </si>
  <si>
    <t>ESC-CAL-SEG-0002</t>
  </si>
  <si>
    <t>Bloqueo de acceso por credenciales incorrectas</t>
  </si>
  <si>
    <t>Verificar que el sistema bloquee accesos con credenciales inválidas.</t>
  </si>
  <si>
    <t>Escenario que evalúa la respuesta del sistema cuando un usuario introduce credenciales incorrectas.</t>
  </si>
  <si>
    <t>El acceso es rechazado y se muestra un mensaje de error.</t>
  </si>
  <si>
    <t>Introduce credenciales incorrectas</t>
  </si>
  <si>
    <t>El sistema rechaza el acceso</t>
  </si>
  <si>
    <t>Acceso denegado</t>
  </si>
  <si>
    <t>Control de autenticación</t>
  </si>
  <si>
    <t>ESC-CAL-SEG-0003</t>
  </si>
  <si>
    <t>Registro de nuevos pilotos</t>
  </si>
  <si>
    <t>Verificar que los pilotos puedan registrarse en la aplicación.</t>
  </si>
  <si>
    <t>Escenario que evalúa el proceso de registro de nuevos usuarios en el sistema.</t>
  </si>
  <si>
    <t>El usuario completa el registro correctamente.</t>
  </si>
  <si>
    <t>Completa formulario de registro</t>
  </si>
  <si>
    <t>El sistema crea la cuenta del usuario</t>
  </si>
  <si>
    <t>Usuario registrado</t>
  </si>
  <si>
    <t>Gestión de identidad</t>
  </si>
  <si>
    <t>ESC-CAL-SEG-0004</t>
  </si>
  <si>
    <t>Verificación de correo electrónico del usuario</t>
  </si>
  <si>
    <t>Verificar que el correo del usuario sea validado antes de activar la cuenta.</t>
  </si>
  <si>
    <t>Escenario que evalúa el proceso de verificación de correo enviado al piloto.</t>
  </si>
  <si>
    <t>La cuenta se activa solo después de verificar el correo.</t>
  </si>
  <si>
    <t>Confirma correo recibido</t>
  </si>
  <si>
    <t>El sistema valida el correo</t>
  </si>
  <si>
    <t>Cuenta activada</t>
  </si>
  <si>
    <t>Verificación de identidad</t>
  </si>
  <si>
    <t>ESC-CAL-SEG-0005</t>
  </si>
  <si>
    <t>Recuperación de contraseña mediante correo electrónico</t>
  </si>
  <si>
    <t>Permitir que el usuario recupere su contraseña en caso de olvido.</t>
  </si>
  <si>
    <t>Escenario que evalúa el proceso de recuperación de contraseña mediante enlace enviado al correo.</t>
  </si>
  <si>
    <t>El usuario puede restablecer su contraseña correctamente.</t>
  </si>
  <si>
    <t>Solicita recuperación de contraseña</t>
  </si>
  <si>
    <t>El sistema envía enlace de recuperación</t>
  </si>
  <si>
    <t>Contraseña restablecida</t>
  </si>
  <si>
    <t>Recuperación segura</t>
  </si>
  <si>
    <t>ESC-CAL-SEG-0006</t>
  </si>
  <si>
    <t>Recuperación mediante preguntas de seguridad</t>
  </si>
  <si>
    <t>Validar la identidad del usuario antes de permitir el restablecimiento de contraseña.</t>
  </si>
  <si>
    <t>Escenario que evalúa la recuperación de contraseña mediante preguntas de seguridad.</t>
  </si>
  <si>
    <t>El usuario responde correctamente las preguntas y restablece su contraseña.</t>
  </si>
  <si>
    <t>Responde preguntas de seguridad</t>
  </si>
  <si>
    <t>El sistema valida respuestas</t>
  </si>
  <si>
    <t>Acceso a cambio de contraseña</t>
  </si>
  <si>
    <t>Validación de identidad</t>
  </si>
  <si>
    <t>ESC-CAL-SEG-0007</t>
  </si>
  <si>
    <t>Protección de credenciales mediante cifrado</t>
  </si>
  <si>
    <t>Garantizar que las credenciales estén protegidas.</t>
  </si>
  <si>
    <t>Escenario que evalúa el almacenamiento seguro de credenciales en el sistema.</t>
  </si>
  <si>
    <t>Las credenciales se almacenan cifradas.</t>
  </si>
  <si>
    <t>Almacena credenciales</t>
  </si>
  <si>
    <t>El sistema cifra la información</t>
  </si>
  <si>
    <t>Credenciales protegidas</t>
  </si>
  <si>
    <t>Cifrado de datos</t>
  </si>
  <si>
    <t>ESC-CAL-SEG-0008</t>
  </si>
  <si>
    <t>Proteger la sesión del usuario contra accesos indebidos.</t>
  </si>
  <si>
    <t>Escenario que evalúa el almacenamiento del token de sesión en cookies seguras.</t>
  </si>
  <si>
    <t>El token se almacena como cookie HttpOnly.</t>
  </si>
  <si>
    <t>Genera sesión autenticada</t>
  </si>
  <si>
    <t>El sistema guarda token en cookie segura</t>
  </si>
  <si>
    <t>Cookie HttpOnly activa</t>
  </si>
  <si>
    <t>Seguridad de sesión</t>
  </si>
  <si>
    <t>ESC-CAL-SEG-0009</t>
  </si>
  <si>
    <t>Acceso a funcionalidades según rol</t>
  </si>
  <si>
    <t>Garantizar que los usuarios accedan solo a las funciones autorizadas.</t>
  </si>
  <si>
    <t>Escenario que evalúa el acceso a funcionalidades dependiendo del rol del usuario.</t>
  </si>
  <si>
    <t>Cada usuario accede únicamente a las funciones permitidas.</t>
  </si>
  <si>
    <t>Accede a módulo del sistema</t>
  </si>
  <si>
    <t>El sistema valida rol</t>
  </si>
  <si>
    <t>Acceso permitido</t>
  </si>
  <si>
    <t>Control de acceso</t>
  </si>
  <si>
    <t>ESC-CAL-SEG-0010</t>
  </si>
  <si>
    <t>Bloqueo de acceso a funciones no autorizadas</t>
  </si>
  <si>
    <t>Evitar accesos a funcionalidades restringidas.</t>
  </si>
  <si>
    <t>Escenario que evalúa el intento de acceso de un piloto a funciones administrativas.</t>
  </si>
  <si>
    <t>El sistema bloquea el acceso.</t>
  </si>
  <si>
    <t>Intenta acceder a función administrativa</t>
  </si>
  <si>
    <t>El sistema deniega el acceso</t>
  </si>
  <si>
    <t>Acceso bloqueado</t>
  </si>
  <si>
    <t>Control de permisos</t>
  </si>
  <si>
    <t>ESC-CAL-SEG-0011</t>
  </si>
  <si>
    <t>Sesión activa durante uso normal</t>
  </si>
  <si>
    <t>Verificar que la sesión permanezca activa mientras el usuario usa el sistema.</t>
  </si>
  <si>
    <t>Escenario que evalúa el funcionamiento normal de una sesión activa.</t>
  </si>
  <si>
    <t>La sesión permanece activa durante el uso.</t>
  </si>
  <si>
    <t>Utiliza la aplicación</t>
  </si>
  <si>
    <t>El sistema mantiene sesión</t>
  </si>
  <si>
    <t>Sesión válida</t>
  </si>
  <si>
    <t>Gestión de sesiones</t>
  </si>
  <si>
    <t>ESC-CAL-SEG-0012</t>
  </si>
  <si>
    <t>Cierre automático de sesión por inactividad</t>
  </si>
  <si>
    <t>Evitar accesos no autorizados cuando el usuario abandona la sesión.</t>
  </si>
  <si>
    <t>Escenario que evalúa el cierre automático tras inactividad.</t>
  </si>
  <si>
    <t>La sesión se cierra automáticamente.</t>
  </si>
  <si>
    <t>Detecta inactividad</t>
  </si>
  <si>
    <t>El sistema cierra la sesión</t>
  </si>
  <si>
    <t>Usuario debe iniciar sesión nuevamente</t>
  </si>
  <si>
    <t>Timeout de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</si>
</sst>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theme="1"/>
      <name val="Calibri Light"/>
      <scheme val="major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9" fontId="3" fillId="0" borderId="0"/>
    <xf numFmtId="0" fontId="5" fillId="0" borderId="0"/>
    <xf numFmtId="0" fontId="5" fillId="0" borderId="0"/>
  </cellStyleXfs>
  <cellXfs count="199">
    <xf numFmtId="0" fontId="0" fillId="0" borderId="0" xfId="0"/>
    <xf numFmtId="9" fontId="0" fillId="0" borderId="0" xfId="1" applyFont="1"/>
    <xf numFmtId="0" fontId="0" fillId="0" borderId="0" xfId="0" applyAlignment="1">
      <alignment wrapText="1"/>
    </xf>
    <xf numFmtId="0" fontId="5" fillId="0" borderId="0" xfId="2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/>
    <xf numFmtId="0" fontId="5" fillId="0" borderId="9" xfId="2" applyBorder="1"/>
    <xf numFmtId="0" fontId="6" fillId="0" borderId="9" xfId="0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0" fontId="0" fillId="0" borderId="4" xfId="1" applyNumberFormat="1" applyFon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0" borderId="17" xfId="0" applyBorder="1" applyAlignment="1">
      <alignment horizontal="center" vertical="center"/>
    </xf>
    <xf numFmtId="10" fontId="0" fillId="0" borderId="4" xfId="0" applyNumberFormat="1" applyBorder="1" applyAlignment="1">
      <alignment horizontal="center"/>
    </xf>
    <xf numFmtId="0" fontId="6" fillId="0" borderId="9" xfId="0" applyFont="1" applyBorder="1" applyAlignment="1">
      <alignment wrapText="1"/>
    </xf>
    <xf numFmtId="0" fontId="0" fillId="0" borderId="9" xfId="0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9" xfId="0" applyFont="1" applyBorder="1" applyAlignment="1">
      <alignment wrapText="1"/>
    </xf>
    <xf numFmtId="0" fontId="6" fillId="4" borderId="9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9" fillId="0" borderId="9" xfId="0" applyFont="1" applyBorder="1" applyAlignment="1">
      <alignment horizontal="left" wrapText="1"/>
    </xf>
    <xf numFmtId="0" fontId="0" fillId="5" borderId="9" xfId="0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6" xfId="3" applyBorder="1"/>
    <xf numFmtId="0" fontId="5" fillId="0" borderId="9" xfId="3" applyBorder="1"/>
    <xf numFmtId="0" fontId="5" fillId="0" borderId="16" xfId="3" applyBorder="1"/>
    <xf numFmtId="0" fontId="5" fillId="0" borderId="5" xfId="3" applyBorder="1"/>
    <xf numFmtId="0" fontId="6" fillId="0" borderId="12" xfId="0" applyFont="1" applyBorder="1" applyAlignment="1">
      <alignment wrapText="1"/>
    </xf>
    <xf numFmtId="0" fontId="6" fillId="4" borderId="20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9" fillId="0" borderId="12" xfId="0" applyFont="1" applyBorder="1" applyAlignment="1">
      <alignment wrapText="1"/>
    </xf>
    <xf numFmtId="0" fontId="5" fillId="0" borderId="15" xfId="3" applyBorder="1"/>
    <xf numFmtId="0" fontId="9" fillId="0" borderId="34" xfId="0" applyFont="1" applyBorder="1" applyAlignment="1">
      <alignment wrapText="1"/>
    </xf>
    <xf numFmtId="0" fontId="5" fillId="0" borderId="1" xfId="3" applyBorder="1"/>
    <xf numFmtId="0" fontId="12" fillId="0" borderId="0" xfId="3" applyFont="1"/>
    <xf numFmtId="0" fontId="2" fillId="0" borderId="0" xfId="0" applyFont="1"/>
    <xf numFmtId="0" fontId="12" fillId="0" borderId="0" xfId="2" applyFont="1"/>
    <xf numFmtId="0" fontId="11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/>
    </xf>
    <xf numFmtId="0" fontId="4" fillId="6" borderId="10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6" borderId="19" xfId="0" applyFont="1" applyFill="1" applyBorder="1"/>
    <xf numFmtId="0" fontId="4" fillId="6" borderId="1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7" fillId="6" borderId="10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8" fillId="6" borderId="10" xfId="0" applyFont="1" applyFill="1" applyBorder="1"/>
    <xf numFmtId="0" fontId="7" fillId="6" borderId="10" xfId="0" applyFont="1" applyFill="1" applyBorder="1" applyAlignment="1">
      <alignment wrapText="1"/>
    </xf>
    <xf numFmtId="0" fontId="7" fillId="6" borderId="1" xfId="0" applyFont="1" applyFill="1" applyBorder="1"/>
    <xf numFmtId="0" fontId="4" fillId="6" borderId="18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0" xfId="0" applyFont="1"/>
    <xf numFmtId="0" fontId="5" fillId="0" borderId="10" xfId="3" applyBorder="1"/>
    <xf numFmtId="0" fontId="6" fillId="0" borderId="10" xfId="0" applyFont="1" applyBorder="1" applyAlignment="1">
      <alignment wrapText="1"/>
    </xf>
    <xf numFmtId="0" fontId="5" fillId="0" borderId="10" xfId="2" applyBorder="1"/>
    <xf numFmtId="0" fontId="0" fillId="4" borderId="0" xfId="0" applyFill="1"/>
    <xf numFmtId="0" fontId="13" fillId="0" borderId="40" xfId="0" applyFont="1" applyBorder="1"/>
    <xf numFmtId="0" fontId="13" fillId="0" borderId="40" xfId="2" applyFont="1" applyBorder="1"/>
    <xf numFmtId="0" fontId="13" fillId="0" borderId="40" xfId="3" applyFont="1" applyBorder="1"/>
    <xf numFmtId="0" fontId="6" fillId="0" borderId="9" xfId="0" applyFont="1" applyBorder="1" applyAlignment="1">
      <alignment horizontal="left"/>
    </xf>
    <xf numFmtId="0" fontId="0" fillId="0" borderId="9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52" xfId="0" applyFont="1" applyFill="1" applyBorder="1" applyAlignment="1">
      <alignment horizontal="left" vertical="center"/>
    </xf>
    <xf numFmtId="0" fontId="11" fillId="3" borderId="50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horizontal="left" vertical="center"/>
    </xf>
    <xf numFmtId="0" fontId="11" fillId="3" borderId="36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 wrapText="1"/>
    </xf>
    <xf numFmtId="0" fontId="11" fillId="3" borderId="22" xfId="0" applyFont="1" applyFill="1" applyBorder="1" applyAlignment="1">
      <alignment horizontal="left" vertical="center" wrapText="1"/>
    </xf>
    <xf numFmtId="0" fontId="11" fillId="3" borderId="30" xfId="0" applyFont="1" applyFill="1" applyBorder="1" applyAlignment="1">
      <alignment horizontal="left" vertical="center" wrapText="1"/>
    </xf>
    <xf numFmtId="0" fontId="11" fillId="3" borderId="50" xfId="0" applyFont="1" applyFill="1" applyBorder="1" applyAlignment="1">
      <alignment horizontal="left" vertical="center" wrapText="1"/>
    </xf>
    <xf numFmtId="0" fontId="11" fillId="3" borderId="27" xfId="0" applyFont="1" applyFill="1" applyBorder="1" applyAlignment="1">
      <alignment horizontal="left" vertical="center" wrapText="1"/>
    </xf>
    <xf numFmtId="0" fontId="11" fillId="3" borderId="28" xfId="0" applyFont="1" applyFill="1" applyBorder="1" applyAlignment="1">
      <alignment horizontal="left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55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3" borderId="57" xfId="0" applyFont="1" applyFill="1" applyBorder="1" applyAlignment="1">
      <alignment horizontal="left" vertical="center" wrapText="1"/>
    </xf>
    <xf numFmtId="0" fontId="11" fillId="3" borderId="33" xfId="0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left" vertical="center" wrapText="1"/>
    </xf>
    <xf numFmtId="0" fontId="0" fillId="0" borderId="35" xfId="0" applyBorder="1" applyAlignment="1"/>
    <xf numFmtId="0" fontId="0" fillId="0" borderId="0" xfId="0" applyAlignment="1"/>
    <xf numFmtId="0" fontId="0" fillId="0" borderId="14" xfId="0" applyBorder="1" applyAlignment="1"/>
    <xf numFmtId="0" fontId="1" fillId="0" borderId="9" xfId="0" applyFont="1" applyBorder="1" applyAlignment="1">
      <alignment horizontal="center" vertical="center"/>
    </xf>
    <xf numFmtId="0" fontId="1" fillId="0" borderId="0" xfId="0" applyFont="1"/>
    <xf numFmtId="0" fontId="0" fillId="0" borderId="22" xfId="0" applyBorder="1" applyAlignment="1"/>
    <xf numFmtId="0" fontId="1" fillId="3" borderId="9" xfId="0" applyFont="1" applyFill="1" applyBorder="1" applyAlignment="1">
      <alignment vertical="center"/>
    </xf>
    <xf numFmtId="0" fontId="0" fillId="0" borderId="24" xfId="0" applyBorder="1" applyAlignment="1"/>
    <xf numFmtId="0" fontId="0" fillId="0" borderId="15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1" fillId="3" borderId="9" xfId="0" applyFont="1" applyFill="1" applyBorder="1" applyAlignment="1">
      <alignment vertical="center" wrapText="1"/>
    </xf>
    <xf numFmtId="0" fontId="1" fillId="0" borderId="0" xfId="0" applyFont="1" applyAlignment="1"/>
    <xf numFmtId="0" fontId="1" fillId="2" borderId="41" xfId="0" applyFont="1" applyFill="1" applyBorder="1" applyAlignment="1">
      <alignment horizontal="center" vertical="center" wrapText="1"/>
    </xf>
    <xf numFmtId="0" fontId="1" fillId="0" borderId="34" xfId="0" applyFont="1" applyBorder="1" applyAlignment="1"/>
    <xf numFmtId="0" fontId="1" fillId="2" borderId="42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49" xfId="0" applyFont="1" applyFill="1" applyBorder="1" applyAlignment="1">
      <alignment horizontal="center" vertical="center" wrapText="1"/>
    </xf>
    <xf numFmtId="0" fontId="1" fillId="0" borderId="48" xfId="0" applyFont="1" applyBorder="1" applyAlignment="1"/>
    <xf numFmtId="0" fontId="1" fillId="2" borderId="47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1" fillId="3" borderId="12" xfId="0" applyFont="1" applyFill="1" applyBorder="1" applyAlignment="1">
      <alignment vertical="center"/>
    </xf>
    <xf numFmtId="0" fontId="0" fillId="0" borderId="30" xfId="0" applyBorder="1" applyAlignment="1"/>
    <xf numFmtId="0" fontId="1" fillId="3" borderId="51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33" xfId="0" applyBorder="1" applyAlignment="1"/>
    <xf numFmtId="0" fontId="0" fillId="0" borderId="31" xfId="0" applyBorder="1" applyAlignment="1"/>
    <xf numFmtId="0" fontId="1" fillId="3" borderId="13" xfId="0" applyFont="1" applyFill="1" applyBorder="1" applyAlignment="1">
      <alignment vertical="center" wrapText="1"/>
    </xf>
    <xf numFmtId="0" fontId="0" fillId="0" borderId="32" xfId="0" applyBorder="1" applyAlignment="1"/>
    <xf numFmtId="0" fontId="0" fillId="0" borderId="17" xfId="0" applyBorder="1" applyAlignment="1"/>
    <xf numFmtId="0" fontId="1" fillId="2" borderId="9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0" fillId="0" borderId="9" xfId="0" applyBorder="1" applyAlignment="1"/>
    <xf numFmtId="0" fontId="1" fillId="3" borderId="14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53" xfId="0" applyBorder="1" applyAlignment="1"/>
    <xf numFmtId="0" fontId="1" fillId="3" borderId="12" xfId="0" applyFont="1" applyFill="1" applyBorder="1" applyAlignment="1">
      <alignment vertical="center" wrapText="1"/>
    </xf>
    <xf numFmtId="0" fontId="1" fillId="3" borderId="24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vertical="center" wrapText="1"/>
    </xf>
    <xf numFmtId="0" fontId="1" fillId="3" borderId="54" xfId="0" applyFont="1" applyFill="1" applyBorder="1" applyAlignment="1">
      <alignment vertical="center" wrapText="1"/>
    </xf>
    <xf numFmtId="0" fontId="1" fillId="3" borderId="32" xfId="0" applyFont="1" applyFill="1" applyBorder="1" applyAlignment="1">
      <alignment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0" borderId="17" xfId="0" applyFont="1" applyBorder="1" applyAlignment="1"/>
  </cellXfs>
  <cellStyles count="4">
    <cellStyle name="Hipervínculo" xfId="2" builtinId="8"/>
    <cellStyle name="Hyperlink" xfId="3" xr:uid="{00000000-0005-0000-0000-000003000000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Mapa </a:t>
            </a:r>
            <a:r>
              <a:rPr lang="es-CO" baseline="0"/>
              <a:t>de Empatía</a:t>
            </a:r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'Mapa empatía'!$B$1</c:f>
              <c:strCache>
                <c:ptCount val="1"/>
                <c:pt idx="0">
                  <c:v> Administrador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'Mapa empatía'!A2:A16</c:f>
              <c:strCache>
                <c:ptCount val="15"/>
                <c:pt idx="0">
                  <c:v>Disponibilidad</c:v>
                </c:pt>
                <c:pt idx="1">
                  <c:v>Confiabilidad</c:v>
                </c:pt>
                <c:pt idx="2">
                  <c:v>Rendimiento</c:v>
                </c:pt>
                <c:pt idx="3">
                  <c:v>Seguridad</c:v>
                </c:pt>
                <c:pt idx="4">
                  <c:v>Escalabilidad</c:v>
                </c:pt>
                <c:pt idx="5">
                  <c:v>Mantenibilidad</c:v>
                </c:pt>
                <c:pt idx="6">
                  <c:v>Capacidad para ser soportado</c:v>
                </c:pt>
                <c:pt idx="7">
                  <c:v>Capacidad para ser probado</c:v>
                </c:pt>
                <c:pt idx="8">
                  <c:v>Capacidad de ser administrado</c:v>
                </c:pt>
                <c:pt idx="9">
                  <c:v>Interoperabilidad</c:v>
                </c:pt>
                <c:pt idx="10">
                  <c:v>Accesibilidad</c:v>
                </c:pt>
                <c:pt idx="11">
                  <c:v>Experiencia de usuario</c:v>
                </c:pt>
                <c:pt idx="12">
                  <c:v>Conformidad</c:v>
                </c:pt>
                <c:pt idx="13">
                  <c:v>Internacionalización</c:v>
                </c:pt>
                <c:pt idx="14">
                  <c:v>Flexibilidad</c:v>
                </c:pt>
              </c:strCache>
            </c:strRef>
          </c:cat>
          <c:val>
            <c:numRef>
              <c:f>'Mapa empatía'!B2:B16</c:f>
              <c:numCache>
                <c:formatCode>General</c:formatCode>
                <c:ptCount val="15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2-4599-B480-4C7ED9A86AAE}"/>
            </c:ext>
          </c:extLst>
        </c:ser>
        <c:ser>
          <c:idx val="1"/>
          <c:order val="1"/>
          <c:tx>
            <c:strRef>
              <c:f>'Mapa empatía'!$C$1</c:f>
              <c:strCache>
                <c:ptCount val="1"/>
                <c:pt idx="0">
                  <c:v>Piloto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'Mapa empatía'!A2:A16</c:f>
              <c:strCache>
                <c:ptCount val="15"/>
                <c:pt idx="0">
                  <c:v>Disponibilidad</c:v>
                </c:pt>
                <c:pt idx="1">
                  <c:v>Confiabilidad</c:v>
                </c:pt>
                <c:pt idx="2">
                  <c:v>Rendimiento</c:v>
                </c:pt>
                <c:pt idx="3">
                  <c:v>Seguridad</c:v>
                </c:pt>
                <c:pt idx="4">
                  <c:v>Escalabilidad</c:v>
                </c:pt>
                <c:pt idx="5">
                  <c:v>Mantenibilidad</c:v>
                </c:pt>
                <c:pt idx="6">
                  <c:v>Capacidad para ser soportado</c:v>
                </c:pt>
                <c:pt idx="7">
                  <c:v>Capacidad para ser probado</c:v>
                </c:pt>
                <c:pt idx="8">
                  <c:v>Capacidad de ser administrado</c:v>
                </c:pt>
                <c:pt idx="9">
                  <c:v>Interoperabilidad</c:v>
                </c:pt>
                <c:pt idx="10">
                  <c:v>Accesibilidad</c:v>
                </c:pt>
                <c:pt idx="11">
                  <c:v>Experiencia de usuario</c:v>
                </c:pt>
                <c:pt idx="12">
                  <c:v>Conformidad</c:v>
                </c:pt>
                <c:pt idx="13">
                  <c:v>Internacionalización</c:v>
                </c:pt>
                <c:pt idx="14">
                  <c:v>Flexibilidad</c:v>
                </c:pt>
              </c:strCache>
            </c:strRef>
          </c:cat>
          <c:val>
            <c:numRef>
              <c:f>'Mapa empatía'!C2:C16</c:f>
              <c:numCache>
                <c:formatCode>General</c:formatCode>
                <c:ptCount val="15"/>
                <c:pt idx="0">
                  <c:v>14</c:v>
                </c:pt>
                <c:pt idx="1">
                  <c:v>15</c:v>
                </c:pt>
                <c:pt idx="2">
                  <c:v>12</c:v>
                </c:pt>
                <c:pt idx="3">
                  <c:v>13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2-4599-B480-4C7ED9A8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74048"/>
        <c:axId val="203475968"/>
      </c:radarChart>
      <c:catAx>
        <c:axId val="2034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5968"/>
        <c:crosses val="autoZero"/>
        <c:auto val="1"/>
        <c:lblAlgn val="ctr"/>
        <c:lblOffset val="100"/>
        <c:noMultiLvlLbl val="0"/>
      </c:catAx>
      <c:valAx>
        <c:axId val="2034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404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20</xdr:row>
      <xdr:rowOff>40961</xdr:rowOff>
    </xdr:from>
    <xdr:to>
      <xdr:col>6</xdr:col>
      <xdr:colOff>685664</xdr:colOff>
      <xdr:row>44</xdr:row>
      <xdr:rowOff>167083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17"/>
  <sheetViews>
    <sheetView zoomScaleNormal="100" workbookViewId="0">
      <selection activeCell="A2" sqref="A2:D7"/>
    </sheetView>
  </sheetViews>
  <sheetFormatPr defaultColWidth="11.42578125" defaultRowHeight="15"/>
  <cols>
    <col min="1" max="1" width="30" bestFit="1" customWidth="1"/>
    <col min="2" max="2" width="18.5703125" customWidth="1"/>
    <col min="3" max="3" width="19.42578125" customWidth="1"/>
    <col min="4" max="4" width="14.7109375" customWidth="1"/>
    <col min="5" max="5" width="11.42578125" style="1" customWidth="1"/>
    <col min="6" max="6" width="20.42578125" customWidth="1"/>
    <col min="7" max="7" width="14.140625" customWidth="1"/>
    <col min="8" max="8" width="18.5703125" customWidth="1"/>
    <col min="9" max="9" width="15.85546875" customWidth="1"/>
  </cols>
  <sheetData>
    <row r="1" spans="1:14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4" t="s">
        <v>5</v>
      </c>
      <c r="G1" s="15" t="s">
        <v>6</v>
      </c>
      <c r="H1" s="67" t="s">
        <v>7</v>
      </c>
      <c r="I1" s="67" t="s">
        <v>2</v>
      </c>
    </row>
    <row r="2" spans="1:14" ht="15" customHeight="1">
      <c r="A2" s="23" t="s">
        <v>8</v>
      </c>
      <c r="B2" s="22">
        <v>8</v>
      </c>
      <c r="C2" s="22">
        <v>14</v>
      </c>
      <c r="D2" s="22">
        <f>B2+C2</f>
        <v>22</v>
      </c>
      <c r="E2" s="27">
        <f>D2/$D$17</f>
        <v>9.3220338983050849E-2</v>
      </c>
      <c r="F2" s="66">
        <f>COUNTA(Disponibilidad!A2:A15)</f>
        <v>5</v>
      </c>
      <c r="G2" s="90">
        <f>F17/2+1</f>
        <v>28.5</v>
      </c>
      <c r="H2" s="29">
        <f>Disponibilidad!C7</f>
        <v>5</v>
      </c>
      <c r="I2" s="24">
        <f>Disponibilidad!D7</f>
        <v>2</v>
      </c>
    </row>
    <row r="3" spans="1:14" ht="15" customHeight="1">
      <c r="A3" s="23" t="s">
        <v>9</v>
      </c>
      <c r="B3" s="22">
        <v>7</v>
      </c>
      <c r="C3" s="22">
        <v>15</v>
      </c>
      <c r="D3" s="22">
        <f>B3+C3</f>
        <v>22</v>
      </c>
      <c r="E3" s="27">
        <f>D3/$D$17</f>
        <v>9.3220338983050849E-2</v>
      </c>
      <c r="F3" s="66">
        <f>COUNTA(Confiabilidad!A2:A13)</f>
        <v>5</v>
      </c>
      <c r="G3" s="135"/>
      <c r="H3" s="29">
        <f>Confiabilidad!C7</f>
        <v>5</v>
      </c>
      <c r="I3" s="24">
        <f>Confiabilidad!D7</f>
        <v>3</v>
      </c>
    </row>
    <row r="4" spans="1:14" ht="15" customHeight="1">
      <c r="A4" s="23" t="s">
        <v>10</v>
      </c>
      <c r="B4" s="22">
        <v>9</v>
      </c>
      <c r="C4" s="22">
        <v>12</v>
      </c>
      <c r="D4" s="22">
        <f>B4+C4</f>
        <v>21</v>
      </c>
      <c r="E4" s="27">
        <f>D4/$D$17</f>
        <v>8.8983050847457626E-2</v>
      </c>
      <c r="F4" s="66">
        <f>COUNTA(Rendimiento!A2:A15)</f>
        <v>5</v>
      </c>
      <c r="G4" s="135"/>
      <c r="H4" s="29">
        <f>Rendimiento!C7</f>
        <v>4</v>
      </c>
      <c r="I4" s="24">
        <f>Rendimiento!D7</f>
        <v>4</v>
      </c>
    </row>
    <row r="5" spans="1:14" ht="15" customHeight="1">
      <c r="A5" s="23" t="s">
        <v>11</v>
      </c>
      <c r="B5" s="22">
        <v>6</v>
      </c>
      <c r="C5" s="22">
        <v>13</v>
      </c>
      <c r="D5" s="22">
        <f>B5+C5</f>
        <v>19</v>
      </c>
      <c r="E5" s="27">
        <f>D5/$D$17</f>
        <v>8.050847457627118E-2</v>
      </c>
      <c r="F5" s="66">
        <f>COUNTA(Seguridad!A2:A14)</f>
        <v>6</v>
      </c>
      <c r="G5" s="135"/>
      <c r="H5" s="32">
        <f>Seguridad!C8</f>
        <v>4</v>
      </c>
      <c r="I5" s="26">
        <f>Seguridad!D8</f>
        <v>4</v>
      </c>
      <c r="K5" s="91" t="s">
        <v>12</v>
      </c>
      <c r="L5" s="136"/>
      <c r="M5" s="136"/>
      <c r="N5" s="136"/>
    </row>
    <row r="6" spans="1:14" ht="15" customHeight="1">
      <c r="A6" s="85" t="s">
        <v>13</v>
      </c>
      <c r="B6" s="5">
        <v>11</v>
      </c>
      <c r="C6" s="5">
        <v>7</v>
      </c>
      <c r="D6" s="22">
        <f>B6+C6</f>
        <v>18</v>
      </c>
      <c r="E6" s="27">
        <f>D6/$D$17</f>
        <v>7.6271186440677971E-2</v>
      </c>
      <c r="F6" s="66">
        <f>COUNTA(Escalabilidad!A2:A15)</f>
        <v>4</v>
      </c>
      <c r="G6" s="135"/>
      <c r="H6" s="24">
        <f>Escalabilidad!C6</f>
        <v>4</v>
      </c>
      <c r="I6" s="24">
        <f>Escalabilidad!D6</f>
        <v>1</v>
      </c>
      <c r="J6" s="6"/>
      <c r="K6" s="136"/>
      <c r="L6" s="136"/>
      <c r="M6" s="136"/>
      <c r="N6" s="136"/>
    </row>
    <row r="7" spans="1:14" ht="15" customHeight="1">
      <c r="A7" s="4" t="s">
        <v>14</v>
      </c>
      <c r="B7" s="5">
        <v>12</v>
      </c>
      <c r="C7" s="5">
        <v>5</v>
      </c>
      <c r="D7" s="22">
        <f>B7+C7</f>
        <v>17</v>
      </c>
      <c r="E7" s="27">
        <f>D7/$D$17</f>
        <v>7.2033898305084748E-2</v>
      </c>
      <c r="F7" s="66">
        <f>COUNTA(#REF!)</f>
        <v>1</v>
      </c>
      <c r="G7" s="135"/>
      <c r="H7" s="24">
        <v>0</v>
      </c>
      <c r="I7" s="24">
        <v>0</v>
      </c>
      <c r="K7" s="136"/>
      <c r="L7" s="136"/>
      <c r="M7" s="136"/>
      <c r="N7" s="136"/>
    </row>
    <row r="8" spans="1:14" ht="15" customHeight="1">
      <c r="A8" s="4" t="s">
        <v>15</v>
      </c>
      <c r="B8" s="5">
        <v>13</v>
      </c>
      <c r="C8" s="5">
        <v>3</v>
      </c>
      <c r="D8" s="22">
        <f>B8+C8</f>
        <v>16</v>
      </c>
      <c r="E8" s="27">
        <f>D8/$D$17</f>
        <v>6.7796610169491525E-2</v>
      </c>
      <c r="F8" s="66">
        <f>COUNTA(#REF!)</f>
        <v>1</v>
      </c>
      <c r="G8" s="135"/>
      <c r="H8" s="24">
        <v>0</v>
      </c>
      <c r="I8" s="24">
        <v>0</v>
      </c>
      <c r="K8" s="136"/>
      <c r="L8" s="136"/>
      <c r="M8" s="136"/>
      <c r="N8" s="136"/>
    </row>
    <row r="9" spans="1:14" ht="15" customHeight="1">
      <c r="A9" s="4" t="s">
        <v>16</v>
      </c>
      <c r="B9" s="5">
        <v>14</v>
      </c>
      <c r="C9" s="5">
        <v>2</v>
      </c>
      <c r="D9" s="22">
        <f>B9+C9</f>
        <v>16</v>
      </c>
      <c r="E9" s="27">
        <f>D9/$D$17</f>
        <v>6.7796610169491525E-2</v>
      </c>
      <c r="F9" s="66">
        <f>COUNTA(#REF!)</f>
        <v>1</v>
      </c>
      <c r="G9" s="135"/>
      <c r="H9" s="24">
        <v>0</v>
      </c>
      <c r="I9" s="24">
        <v>0</v>
      </c>
    </row>
    <row r="10" spans="1:14" ht="15" customHeight="1">
      <c r="A10" s="4" t="s">
        <v>17</v>
      </c>
      <c r="B10" s="5">
        <v>15</v>
      </c>
      <c r="C10" s="5">
        <v>1</v>
      </c>
      <c r="D10" s="22">
        <f>B10+C10</f>
        <v>16</v>
      </c>
      <c r="E10" s="27">
        <f>D10/$D$17</f>
        <v>6.7796610169491525E-2</v>
      </c>
      <c r="F10" s="66">
        <f>COUNTA('Capacidad de ser administrado'!A2:A15)</f>
        <v>5</v>
      </c>
      <c r="G10" s="135"/>
      <c r="H10" s="24">
        <f>'Capacidad de ser administrado'!C7</f>
        <v>5</v>
      </c>
      <c r="I10" s="24">
        <f>'Capacidad de ser administrado'!D7</f>
        <v>1</v>
      </c>
    </row>
    <row r="11" spans="1:14" ht="15" customHeight="1">
      <c r="A11" s="4" t="s">
        <v>18</v>
      </c>
      <c r="B11" s="5">
        <v>10</v>
      </c>
      <c r="C11" s="5">
        <v>6</v>
      </c>
      <c r="D11" s="22">
        <f>B11+C11</f>
        <v>16</v>
      </c>
      <c r="E11" s="27">
        <f>D11/$D$17</f>
        <v>6.7796610169491525E-2</v>
      </c>
      <c r="F11" s="66">
        <f>COUNTA(Interoperabilidad!A2:A15)</f>
        <v>3</v>
      </c>
      <c r="G11" s="135"/>
      <c r="H11" s="24">
        <f>Interoperabilidad!C5</f>
        <v>3</v>
      </c>
      <c r="I11" s="24">
        <f>Interoperabilidad!D5</f>
        <v>1</v>
      </c>
    </row>
    <row r="12" spans="1:14" ht="15" customHeight="1">
      <c r="A12" s="23" t="s">
        <v>19</v>
      </c>
      <c r="B12" s="22">
        <v>4</v>
      </c>
      <c r="C12" s="6">
        <v>10</v>
      </c>
      <c r="D12" s="22">
        <f>B12+C11</f>
        <v>10</v>
      </c>
      <c r="E12" s="27">
        <f>D12/$D$17</f>
        <v>4.2372881355932202E-2</v>
      </c>
      <c r="F12" s="66">
        <f>COUNTA(Accesibilidad!A2:A13)</f>
        <v>3</v>
      </c>
      <c r="G12" s="135"/>
      <c r="H12" s="24">
        <f>Accesibilidad!C5</f>
        <v>3</v>
      </c>
      <c r="I12" s="24">
        <f>Accesibilidad!D5</f>
        <v>3</v>
      </c>
    </row>
    <row r="13" spans="1:14" ht="15" customHeight="1">
      <c r="A13" s="23" t="s">
        <v>20</v>
      </c>
      <c r="B13" s="22">
        <v>3</v>
      </c>
      <c r="C13" s="22">
        <v>11</v>
      </c>
      <c r="D13" s="22">
        <f>B13+C13</f>
        <v>14</v>
      </c>
      <c r="E13" s="27">
        <f>D13/$D$17</f>
        <v>5.9322033898305086E-2</v>
      </c>
      <c r="F13" s="66">
        <f>COUNTA('Experiencia de usuario'!A2:A15)</f>
        <v>10</v>
      </c>
      <c r="G13" s="135"/>
      <c r="H13" s="24">
        <f>'Experiencia de usuario'!C12</f>
        <v>0</v>
      </c>
      <c r="I13" s="24">
        <f>'Experiencia de usuario'!D12</f>
        <v>10</v>
      </c>
    </row>
    <row r="14" spans="1:14" ht="15" customHeight="1">
      <c r="A14" s="4" t="s">
        <v>21</v>
      </c>
      <c r="B14" s="5">
        <v>2</v>
      </c>
      <c r="C14" s="5">
        <v>9</v>
      </c>
      <c r="D14" s="22">
        <f>B14+C14</f>
        <v>11</v>
      </c>
      <c r="E14" s="27">
        <f>D14/$D$17</f>
        <v>4.6610169491525424E-2</v>
      </c>
      <c r="F14" s="66">
        <f>COUNTA(Conformidad!A2:A15)</f>
        <v>4</v>
      </c>
      <c r="G14" s="135"/>
      <c r="H14" s="24">
        <f>Conformidad!C6</f>
        <v>4</v>
      </c>
      <c r="I14" s="24">
        <f>Conformidad!D6</f>
        <v>1</v>
      </c>
      <c r="J14" s="6"/>
      <c r="K14" s="6"/>
    </row>
    <row r="15" spans="1:14" ht="15" customHeight="1">
      <c r="A15" s="4" t="s">
        <v>22</v>
      </c>
      <c r="B15" s="5">
        <v>1</v>
      </c>
      <c r="C15" s="5">
        <v>8</v>
      </c>
      <c r="D15" s="22">
        <f>B15+C15</f>
        <v>9</v>
      </c>
      <c r="E15" s="27">
        <f>D15/$D$17</f>
        <v>3.8135593220338986E-2</v>
      </c>
      <c r="F15" s="66">
        <f>COUNTA(#REF!)</f>
        <v>1</v>
      </c>
      <c r="G15" s="135"/>
      <c r="H15" s="24">
        <v>0</v>
      </c>
      <c r="I15" s="24">
        <v>0</v>
      </c>
    </row>
    <row r="16" spans="1:14">
      <c r="A16" s="31" t="s">
        <v>23</v>
      </c>
      <c r="B16" s="5">
        <v>5</v>
      </c>
      <c r="C16" s="5">
        <v>4</v>
      </c>
      <c r="D16" s="22">
        <f>B16+C16</f>
        <v>9</v>
      </c>
      <c r="E16" s="27">
        <f>D16/$D$17</f>
        <v>3.8135593220338986E-2</v>
      </c>
      <c r="F16" s="66">
        <f>COUNTA(#REF!)</f>
        <v>1</v>
      </c>
      <c r="G16" s="135"/>
      <c r="H16" s="24">
        <v>0</v>
      </c>
      <c r="I16" s="24">
        <v>0</v>
      </c>
    </row>
    <row r="17" spans="1:9" ht="15" customHeight="1">
      <c r="A17" s="30" t="s">
        <v>3</v>
      </c>
      <c r="B17" s="25">
        <f>SUM(B1:B16)</f>
        <v>120</v>
      </c>
      <c r="C17" s="22">
        <f>SUM(C1:C16)</f>
        <v>120</v>
      </c>
      <c r="D17" s="22">
        <f>SUM(D1:D16)</f>
        <v>236</v>
      </c>
      <c r="E17" s="33">
        <f>SUM(E1:E16)</f>
        <v>1</v>
      </c>
      <c r="F17" s="28">
        <f>SUM(F2:F16)</f>
        <v>55</v>
      </c>
      <c r="G17" s="137"/>
      <c r="H17" s="68">
        <f>SUM(H2:H16)</f>
        <v>37</v>
      </c>
      <c r="I17" s="69">
        <f>SUM(I2:I16)</f>
        <v>30</v>
      </c>
    </row>
  </sheetData>
  <autoFilter ref="A1:E16" xr:uid="{00000000-0009-0000-0000-000000000000}">
    <sortState xmlns:xlrd2="http://schemas.microsoft.com/office/spreadsheetml/2017/richdata2" ref="A2:E17">
      <sortCondition descending="1" ref="D1:D16"/>
    </sortState>
  </autoFilter>
  <mergeCells count="2">
    <mergeCell ref="G2:G17"/>
    <mergeCell ref="K5:N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0">
    <tabColor theme="9" tint="0.59999389629810485"/>
  </sheetPr>
  <dimension ref="A1:E16"/>
  <sheetViews>
    <sheetView workbookViewId="0">
      <selection activeCell="A3" sqref="A3:A4"/>
    </sheetView>
  </sheetViews>
  <sheetFormatPr defaultColWidth="11.42578125" defaultRowHeight="15" customHeight="1"/>
  <cols>
    <col min="1" max="1" width="74.42578125" customWidth="1"/>
    <col min="2" max="2" width="12.140625" customWidth="1"/>
    <col min="3" max="3" width="15.140625" customWidth="1"/>
    <col min="4" max="4" width="18.85546875" customWidth="1"/>
  </cols>
  <sheetData>
    <row r="1" spans="1:5">
      <c r="A1" s="70" t="s">
        <v>24</v>
      </c>
      <c r="B1" s="71" t="s">
        <v>25</v>
      </c>
      <c r="C1" s="71" t="s">
        <v>7</v>
      </c>
      <c r="D1" s="72" t="s">
        <v>2</v>
      </c>
      <c r="E1" s="72" t="s">
        <v>3</v>
      </c>
    </row>
    <row r="2" spans="1:5" ht="33" customHeight="1">
      <c r="A2" s="34" t="s">
        <v>26</v>
      </c>
      <c r="B2" s="55" t="s">
        <v>25</v>
      </c>
      <c r="C2" s="38">
        <v>1</v>
      </c>
      <c r="D2" s="20">
        <v>1</v>
      </c>
      <c r="E2" s="20">
        <f>C2+D2</f>
        <v>2</v>
      </c>
    </row>
    <row r="3" spans="1:5" ht="27.75" customHeight="1">
      <c r="A3" s="34" t="s">
        <v>27</v>
      </c>
      <c r="B3" s="49" t="s">
        <v>25</v>
      </c>
      <c r="C3" s="37">
        <v>1</v>
      </c>
      <c r="D3" s="35">
        <v>1</v>
      </c>
      <c r="E3" s="20">
        <f>C3+D3</f>
        <v>2</v>
      </c>
    </row>
    <row r="4" spans="1:5" ht="33" customHeight="1">
      <c r="A4" s="34" t="s">
        <v>28</v>
      </c>
      <c r="B4" s="49" t="s">
        <v>25</v>
      </c>
      <c r="C4" s="80">
        <v>1</v>
      </c>
      <c r="D4" s="80">
        <v>1</v>
      </c>
      <c r="E4" s="20">
        <f>C4+D4</f>
        <v>2</v>
      </c>
    </row>
    <row r="5" spans="1:5">
      <c r="A5" s="2"/>
      <c r="C5" s="45">
        <f>SUM(C2:C4)</f>
        <v>3</v>
      </c>
      <c r="D5" s="45">
        <f>SUM(D2:D4)</f>
        <v>3</v>
      </c>
      <c r="E5" s="45">
        <f>SUM(C5:D5)</f>
        <v>6</v>
      </c>
    </row>
    <row r="6" spans="1:5" ht="15" customHeight="1">
      <c r="A6" s="2"/>
    </row>
    <row r="7" spans="1:5" ht="15" customHeight="1">
      <c r="A7" s="2"/>
    </row>
    <row r="8" spans="1:5" ht="15" customHeight="1">
      <c r="A8" s="2"/>
    </row>
    <row r="9" spans="1:5" ht="15" customHeight="1">
      <c r="A9" s="2"/>
    </row>
    <row r="10" spans="1:5" ht="15" customHeight="1">
      <c r="A10" s="2"/>
    </row>
    <row r="11" spans="1:5" ht="15" customHeight="1">
      <c r="A11" s="2"/>
    </row>
    <row r="12" spans="1:5" ht="15" customHeight="1">
      <c r="A12" s="2"/>
    </row>
    <row r="13" spans="1:5" ht="15" customHeight="1">
      <c r="A13" s="2"/>
    </row>
    <row r="14" spans="1:5" ht="15" customHeight="1">
      <c r="A14" s="2"/>
    </row>
    <row r="15" spans="1:5" ht="15" customHeight="1">
      <c r="A15" s="2"/>
    </row>
    <row r="16" spans="1:5" ht="15" customHeight="1">
      <c r="A16" s="2"/>
    </row>
  </sheetData>
  <hyperlinks>
    <hyperlink ref="B2" location="'ESC-CAL-ACCESIBILIDAD'!D4" display="Escenarios" xr:uid="{00000000-0004-0000-0100-000000000000}"/>
    <hyperlink ref="B3" location="'ESC-CAL-ACCESIBILIDAD'!D37" display="Escenarios" xr:uid="{00000000-0004-0000-0100-000001000000}"/>
    <hyperlink ref="B4" location="'ESC-CAL-ACCESIBILIDAD'!D70" display="Escenarios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theme="9" tint="0.59999389629810485"/>
  </sheetPr>
  <dimension ref="A1:I17"/>
  <sheetViews>
    <sheetView workbookViewId="0">
      <selection activeCell="A2" sqref="A2:A6"/>
    </sheetView>
  </sheetViews>
  <sheetFormatPr defaultColWidth="11.42578125" defaultRowHeight="14.45"/>
  <cols>
    <col min="1" max="1" width="159.5703125" customWidth="1"/>
    <col min="2" max="2" width="14.85546875" customWidth="1"/>
    <col min="3" max="3" width="12.140625" customWidth="1"/>
    <col min="4" max="4" width="14" customWidth="1"/>
    <col min="5" max="5" width="13.7109375" customWidth="1"/>
  </cols>
  <sheetData>
    <row r="1" spans="1:9" ht="15" customHeight="1">
      <c r="A1" s="73" t="s">
        <v>24</v>
      </c>
      <c r="B1" s="74" t="s">
        <v>25</v>
      </c>
      <c r="C1" s="74" t="s">
        <v>7</v>
      </c>
      <c r="D1" s="74" t="s">
        <v>2</v>
      </c>
      <c r="E1" s="74" t="s">
        <v>29</v>
      </c>
      <c r="F1" s="7"/>
      <c r="G1" s="92" t="s">
        <v>30</v>
      </c>
      <c r="H1" s="136"/>
      <c r="I1" s="136"/>
    </row>
    <row r="2" spans="1:9" ht="37.5" customHeight="1">
      <c r="A2" s="40" t="s">
        <v>31</v>
      </c>
      <c r="B2" s="47" t="s">
        <v>25</v>
      </c>
      <c r="C2" s="9">
        <v>1</v>
      </c>
      <c r="D2" s="9">
        <v>0</v>
      </c>
      <c r="E2" s="9">
        <f>C2+D2</f>
        <v>1</v>
      </c>
      <c r="F2" s="81"/>
      <c r="G2" s="136"/>
      <c r="H2" s="136"/>
      <c r="I2" s="136"/>
    </row>
    <row r="3" spans="1:9" ht="33" customHeight="1">
      <c r="A3" s="34" t="s">
        <v>32</v>
      </c>
      <c r="B3" s="47" t="s">
        <v>25</v>
      </c>
      <c r="C3" s="9">
        <v>1</v>
      </c>
      <c r="D3" s="9">
        <v>1</v>
      </c>
      <c r="E3" s="9">
        <f>C3+D3</f>
        <v>2</v>
      </c>
      <c r="F3" s="7"/>
      <c r="G3" s="136"/>
      <c r="H3" s="136"/>
      <c r="I3" s="136"/>
    </row>
    <row r="4" spans="1:9" ht="15" customHeight="1">
      <c r="A4" s="18" t="s">
        <v>33</v>
      </c>
      <c r="B4" s="47" t="s">
        <v>25</v>
      </c>
      <c r="C4" s="9">
        <v>1</v>
      </c>
      <c r="D4" s="9">
        <v>0</v>
      </c>
      <c r="E4" s="9">
        <f>C4+D4</f>
        <v>1</v>
      </c>
      <c r="F4" s="7"/>
      <c r="G4" s="136"/>
      <c r="H4" s="136"/>
      <c r="I4" s="136"/>
    </row>
    <row r="5" spans="1:9" ht="16.5" customHeight="1">
      <c r="A5" s="89" t="s">
        <v>34</v>
      </c>
      <c r="B5" s="47" t="s">
        <v>25</v>
      </c>
      <c r="C5" s="9">
        <v>1</v>
      </c>
      <c r="D5" s="9">
        <v>0</v>
      </c>
      <c r="E5" s="9">
        <f>C5+D5</f>
        <v>1</v>
      </c>
      <c r="F5" s="7"/>
      <c r="G5" s="136"/>
      <c r="H5" s="136"/>
      <c r="I5" s="136"/>
    </row>
    <row r="6" spans="1:9" ht="16.5" customHeight="1">
      <c r="A6" s="43" t="s">
        <v>35</v>
      </c>
      <c r="B6" s="47" t="s">
        <v>25</v>
      </c>
      <c r="C6" s="9">
        <v>1</v>
      </c>
      <c r="D6" s="9">
        <v>0</v>
      </c>
      <c r="E6" s="9">
        <f>C6+D6</f>
        <v>1</v>
      </c>
      <c r="F6" s="7"/>
      <c r="G6" s="136"/>
      <c r="H6" s="136"/>
      <c r="I6" s="136"/>
    </row>
    <row r="7" spans="1:9" ht="15" customHeight="1">
      <c r="A7" s="53"/>
      <c r="B7" s="7"/>
      <c r="C7" s="10">
        <f>SUM(C2:C6)</f>
        <v>5</v>
      </c>
      <c r="D7" s="10">
        <f>SUM(D2:D6)</f>
        <v>1</v>
      </c>
      <c r="E7" s="10">
        <f>SUM(E2:E6)</f>
        <v>6</v>
      </c>
      <c r="F7" s="7"/>
      <c r="G7" s="7"/>
      <c r="H7" s="7"/>
      <c r="I7" s="7"/>
    </row>
    <row r="9" spans="1:9" ht="15" customHeight="1">
      <c r="A9" s="2"/>
    </row>
    <row r="11" spans="1:9" ht="15" customHeight="1">
      <c r="A11" s="2"/>
    </row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</sheetData>
  <mergeCells count="1">
    <mergeCell ref="G1:I6"/>
  </mergeCells>
  <hyperlinks>
    <hyperlink ref="B2" location="'ESC-CAL-CAPADMINISTRADO'!D3" display="Escenarios" xr:uid="{00000000-0004-0000-0200-000000000000}"/>
    <hyperlink ref="B3" location="'ESC-CAL-CAPADMINISTRADO'!D26" display="Escenarios" xr:uid="{00000000-0004-0000-0200-000001000000}"/>
    <hyperlink ref="B4" location="'ESC-CAL-CAPADMINISTRADO'!D48" display="Escenarios" xr:uid="{00000000-0004-0000-0200-000002000000}"/>
    <hyperlink ref="B5" location="'ESC-CAL-CAPADMINISTRADO'!D70" display="Escenarios" xr:uid="{00000000-0004-0000-0200-000003000000}"/>
    <hyperlink ref="B6" location="'ESC-CAL-CAPADMINISTRADO'!D103" display="Escenarios" xr:uid="{00000000-0004-0000-0200-000004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>
    <tabColor theme="9" tint="0.59999389629810485"/>
  </sheetPr>
  <dimension ref="A1:I15"/>
  <sheetViews>
    <sheetView workbookViewId="0">
      <selection activeCell="A9" sqref="A9"/>
    </sheetView>
  </sheetViews>
  <sheetFormatPr defaultColWidth="11.42578125" defaultRowHeight="14.45"/>
  <cols>
    <col min="1" max="1" width="79" customWidth="1"/>
    <col min="3" max="3" width="16.5703125" customWidth="1"/>
    <col min="4" max="4" width="23.28515625" customWidth="1"/>
  </cols>
  <sheetData>
    <row r="1" spans="1:9" ht="15" customHeight="1">
      <c r="A1" s="73" t="s">
        <v>24</v>
      </c>
      <c r="B1" s="74" t="s">
        <v>25</v>
      </c>
      <c r="C1" s="74" t="s">
        <v>7</v>
      </c>
      <c r="D1" s="74" t="s">
        <v>2</v>
      </c>
      <c r="E1" s="74" t="s">
        <v>29</v>
      </c>
    </row>
    <row r="2" spans="1:9" ht="33" customHeight="1">
      <c r="A2" s="34" t="s">
        <v>36</v>
      </c>
      <c r="B2" s="47" t="s">
        <v>25</v>
      </c>
      <c r="C2" s="9">
        <v>1</v>
      </c>
      <c r="D2" s="9">
        <v>1</v>
      </c>
      <c r="E2" s="9">
        <f>C2+D2</f>
        <v>2</v>
      </c>
    </row>
    <row r="3" spans="1:9" ht="42" customHeight="1">
      <c r="A3" s="34" t="s">
        <v>37</v>
      </c>
      <c r="B3" s="47" t="s">
        <v>25</v>
      </c>
      <c r="C3" s="9">
        <v>1</v>
      </c>
      <c r="D3" s="9">
        <v>0</v>
      </c>
      <c r="E3" s="9">
        <f>C3+D3</f>
        <v>1</v>
      </c>
    </row>
    <row r="4" spans="1:9" ht="40.5" customHeight="1">
      <c r="A4" s="34" t="s">
        <v>38</v>
      </c>
      <c r="B4" s="47" t="s">
        <v>25</v>
      </c>
      <c r="C4" s="39">
        <v>1</v>
      </c>
      <c r="D4" s="39">
        <v>1</v>
      </c>
      <c r="E4" s="9">
        <f>C4+D4</f>
        <v>2</v>
      </c>
    </row>
    <row r="5" spans="1:9" ht="33" customHeight="1">
      <c r="A5" s="34" t="s">
        <v>39</v>
      </c>
      <c r="B5" s="50" t="s">
        <v>25</v>
      </c>
      <c r="C5" s="24">
        <v>1</v>
      </c>
      <c r="D5" s="24">
        <v>0</v>
      </c>
      <c r="E5" s="9">
        <f>C5+D5</f>
        <v>1</v>
      </c>
    </row>
    <row r="6" spans="1:9" ht="34.5" customHeight="1">
      <c r="A6" s="40" t="s">
        <v>40</v>
      </c>
      <c r="B6" s="50" t="s">
        <v>25</v>
      </c>
      <c r="C6" s="35">
        <v>1</v>
      </c>
      <c r="D6" s="35">
        <v>1</v>
      </c>
      <c r="E6" s="9">
        <f>C6+D6</f>
        <v>2</v>
      </c>
    </row>
    <row r="7" spans="1:9" ht="15" customHeight="1">
      <c r="C7" s="21">
        <f>SUM(C2:C6)</f>
        <v>5</v>
      </c>
      <c r="D7" s="21">
        <f>SUM(D2:D6)</f>
        <v>3</v>
      </c>
      <c r="E7" s="21">
        <f>SUM(E2:E6)</f>
        <v>8</v>
      </c>
      <c r="G7" s="93"/>
      <c r="H7" s="136"/>
      <c r="I7" s="136"/>
    </row>
    <row r="8" spans="1:9" ht="15" customHeight="1">
      <c r="A8" s="2"/>
      <c r="G8" s="136"/>
      <c r="H8" s="136"/>
      <c r="I8" s="136"/>
    </row>
    <row r="9" spans="1:9" ht="15" customHeight="1">
      <c r="A9" s="2"/>
      <c r="G9" s="136"/>
      <c r="H9" s="136"/>
      <c r="I9" s="136"/>
    </row>
    <row r="10" spans="1:9" ht="15" customHeight="1">
      <c r="A10" s="2"/>
      <c r="G10" s="136"/>
      <c r="H10" s="136"/>
      <c r="I10" s="136"/>
    </row>
    <row r="11" spans="1:9" ht="15" customHeight="1">
      <c r="A11" s="2"/>
      <c r="G11" s="136"/>
      <c r="H11" s="136"/>
      <c r="I11" s="136"/>
    </row>
    <row r="12" spans="1:9" ht="15" customHeight="1">
      <c r="A12" s="2"/>
      <c r="G12" s="136"/>
      <c r="H12" s="136"/>
      <c r="I12" s="136"/>
    </row>
    <row r="13" spans="1:9">
      <c r="G13" s="136"/>
      <c r="H13" s="136"/>
      <c r="I13" s="136"/>
    </row>
    <row r="14" spans="1:9" ht="15" customHeight="1"/>
    <row r="15" spans="1:9" ht="15" customHeight="1"/>
  </sheetData>
  <mergeCells count="1">
    <mergeCell ref="G7:I13"/>
  </mergeCells>
  <hyperlinks>
    <hyperlink ref="B2" location="'ESC-CAL-CONFIABILIDAD'!D4" display="Escenarios" xr:uid="{00000000-0004-0000-0500-000000000000}"/>
    <hyperlink ref="B3" location="'ESC-CAL-CONFIABILIDAD'!D26" display="Escenarios" xr:uid="{00000000-0004-0000-0500-000001000000}"/>
    <hyperlink ref="B4" location="'ESC-CAL-CONFIABILIDAD'!D48" display="Escenarios" xr:uid="{00000000-0004-0000-0500-000002000000}"/>
    <hyperlink ref="B5" location="'ESC-CAL-CONFIABILIDAD'!D70" display="Escenarios" xr:uid="{00000000-0004-0000-0500-000003000000}"/>
    <hyperlink ref="B6" location="'ESC-CAL-CONFIABILIDAD'!D92" display="Escenarios" xr:uid="{00000000-0004-0000-0500-000004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9">
    <tabColor theme="9" tint="0.59999389629810485"/>
  </sheetPr>
  <dimension ref="A1:H12"/>
  <sheetViews>
    <sheetView workbookViewId="0">
      <selection activeCell="B2" activeCellId="1" sqref="A8 B2"/>
    </sheetView>
  </sheetViews>
  <sheetFormatPr defaultColWidth="11.42578125" defaultRowHeight="14.45"/>
  <cols>
    <col min="1" max="1" width="69.5703125" customWidth="1"/>
    <col min="3" max="3" width="19" customWidth="1"/>
    <col min="4" max="4" width="9.85546875" customWidth="1"/>
    <col min="5" max="5" width="13.7109375" customWidth="1"/>
  </cols>
  <sheetData>
    <row r="1" spans="1:8" ht="15" customHeight="1">
      <c r="A1" s="76" t="s">
        <v>24</v>
      </c>
      <c r="B1" s="75" t="s">
        <v>25</v>
      </c>
      <c r="C1" s="75" t="s">
        <v>7</v>
      </c>
      <c r="D1" s="75" t="s">
        <v>2</v>
      </c>
      <c r="E1" s="75" t="s">
        <v>29</v>
      </c>
    </row>
    <row r="2" spans="1:8" ht="50.25" customHeight="1">
      <c r="A2" s="34" t="s">
        <v>41</v>
      </c>
      <c r="B2" s="50" t="s">
        <v>42</v>
      </c>
      <c r="C2" s="20">
        <v>1</v>
      </c>
      <c r="D2" s="20">
        <v>1</v>
      </c>
      <c r="E2" s="20">
        <f>SUM(C2:D2)</f>
        <v>2</v>
      </c>
    </row>
    <row r="3" spans="1:8" ht="45" customHeight="1">
      <c r="A3" s="34" t="s">
        <v>43</v>
      </c>
      <c r="B3" s="50" t="s">
        <v>42</v>
      </c>
      <c r="C3" s="35">
        <v>1</v>
      </c>
      <c r="D3" s="35">
        <v>0</v>
      </c>
      <c r="E3" s="20">
        <f>SUM(C3:D3)</f>
        <v>1</v>
      </c>
    </row>
    <row r="4" spans="1:8" ht="46.5" customHeight="1">
      <c r="A4" s="40" t="s">
        <v>44</v>
      </c>
      <c r="B4" s="50" t="s">
        <v>42</v>
      </c>
      <c r="C4" s="35">
        <v>1</v>
      </c>
      <c r="D4" s="35">
        <v>0</v>
      </c>
      <c r="E4" s="20">
        <f>SUM(C4:D4)</f>
        <v>1</v>
      </c>
    </row>
    <row r="5" spans="1:8" ht="46.5" customHeight="1">
      <c r="A5" s="40" t="s">
        <v>45</v>
      </c>
      <c r="B5" s="50" t="s">
        <v>42</v>
      </c>
      <c r="C5" s="35">
        <v>1</v>
      </c>
      <c r="D5" s="35">
        <v>0</v>
      </c>
      <c r="E5" s="20">
        <f>SUM(C5:D5)</f>
        <v>1</v>
      </c>
    </row>
    <row r="6" spans="1:8" ht="15" customHeight="1">
      <c r="C6" s="21">
        <f>SUM(C2:C5)</f>
        <v>4</v>
      </c>
      <c r="D6" s="21">
        <f>SUM(D2:D5)</f>
        <v>1</v>
      </c>
      <c r="E6" s="21">
        <f>SUM(E2:E5)</f>
        <v>5</v>
      </c>
    </row>
    <row r="7" spans="1:8">
      <c r="F7" s="93" t="s">
        <v>46</v>
      </c>
      <c r="G7" s="136"/>
      <c r="H7" s="136"/>
    </row>
    <row r="8" spans="1:8">
      <c r="F8" s="136"/>
      <c r="G8" s="136"/>
      <c r="H8" s="136"/>
    </row>
    <row r="9" spans="1:8">
      <c r="F9" s="136"/>
      <c r="G9" s="136"/>
      <c r="H9" s="136"/>
    </row>
    <row r="10" spans="1:8">
      <c r="F10" s="136"/>
      <c r="G10" s="136"/>
      <c r="H10" s="136"/>
    </row>
    <row r="11" spans="1:8">
      <c r="F11" s="136"/>
      <c r="G11" s="136"/>
      <c r="H11" s="136"/>
    </row>
    <row r="12" spans="1:8">
      <c r="F12" s="136"/>
      <c r="G12" s="136"/>
      <c r="H12" s="136"/>
    </row>
  </sheetData>
  <mergeCells count="1">
    <mergeCell ref="F7:H12"/>
  </mergeCells>
  <hyperlinks>
    <hyperlink ref="B2" location="'ESC-CAL-CONFORMIDAD'!D4" display="Escenario" xr:uid="{00000000-0004-0000-0600-000000000000}"/>
    <hyperlink ref="B3" location="'ESC-CAL-CONFORMIDAD'!D26" display="Escenario" xr:uid="{00000000-0004-0000-0600-000001000000}"/>
    <hyperlink ref="B4" location="'ESC-CAL-CONFORMIDAD'!D48" display="Escenario" xr:uid="{00000000-0004-0000-0600-000002000000}"/>
    <hyperlink ref="B5" location="'ESC-CAL-CONFORMIDAD'!D70" display="Escenario" xr:uid="{00000000-0004-0000-06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theme="9" tint="0.59999389629810485"/>
  </sheetPr>
  <dimension ref="A1:H11"/>
  <sheetViews>
    <sheetView workbookViewId="0">
      <selection activeCell="B2" activeCellId="1" sqref="A2:A6 B2"/>
    </sheetView>
  </sheetViews>
  <sheetFormatPr defaultColWidth="11.42578125" defaultRowHeight="14.45"/>
  <cols>
    <col min="1" max="1" width="74.28515625" customWidth="1"/>
    <col min="3" max="3" width="22.28515625" customWidth="1"/>
    <col min="4" max="4" width="15.28515625" customWidth="1"/>
  </cols>
  <sheetData>
    <row r="1" spans="1:8" ht="16.5" customHeight="1">
      <c r="A1" s="77" t="s">
        <v>47</v>
      </c>
      <c r="B1" s="75" t="s">
        <v>25</v>
      </c>
      <c r="C1" s="75" t="s">
        <v>7</v>
      </c>
      <c r="D1" s="75" t="s">
        <v>2</v>
      </c>
      <c r="E1" s="75" t="s">
        <v>29</v>
      </c>
    </row>
    <row r="2" spans="1:8" ht="33" customHeight="1">
      <c r="A2" s="51" t="s">
        <v>48</v>
      </c>
      <c r="B2" s="48" t="s">
        <v>25</v>
      </c>
      <c r="C2" s="138">
        <v>1</v>
      </c>
      <c r="D2" s="138">
        <v>1</v>
      </c>
      <c r="E2" s="20">
        <f>SUM(C2:D2)</f>
        <v>2</v>
      </c>
    </row>
    <row r="3" spans="1:8" ht="33" customHeight="1">
      <c r="A3" s="51" t="s">
        <v>49</v>
      </c>
      <c r="B3" s="48" t="s">
        <v>25</v>
      </c>
      <c r="C3" s="138">
        <v>1</v>
      </c>
      <c r="D3" s="138">
        <v>0</v>
      </c>
      <c r="E3" s="20">
        <f>SUM(C3:D3)</f>
        <v>1</v>
      </c>
    </row>
    <row r="4" spans="1:8" ht="33" customHeight="1">
      <c r="A4" s="54" t="s">
        <v>50</v>
      </c>
      <c r="B4" s="48" t="s">
        <v>25</v>
      </c>
      <c r="C4" s="138">
        <v>1</v>
      </c>
      <c r="D4" s="138">
        <v>1</v>
      </c>
      <c r="E4" s="20">
        <f>SUM(C4:D4)</f>
        <v>2</v>
      </c>
    </row>
    <row r="5" spans="1:8" ht="33" customHeight="1">
      <c r="A5" s="51" t="s">
        <v>51</v>
      </c>
      <c r="B5" s="48" t="s">
        <v>25</v>
      </c>
      <c r="C5" s="138">
        <v>1</v>
      </c>
      <c r="D5" s="138">
        <v>0</v>
      </c>
      <c r="E5" s="20">
        <f>SUM(C5:D5)</f>
        <v>1</v>
      </c>
    </row>
    <row r="6" spans="1:8" ht="33" customHeight="1">
      <c r="A6" s="54" t="s">
        <v>52</v>
      </c>
      <c r="B6" s="48" t="s">
        <v>25</v>
      </c>
      <c r="C6" s="138">
        <v>1</v>
      </c>
      <c r="D6" s="138">
        <v>0</v>
      </c>
      <c r="E6" s="20">
        <f>SUM(C6:D6)</f>
        <v>1</v>
      </c>
    </row>
    <row r="7" spans="1:8" ht="15" customHeight="1">
      <c r="C7" s="21">
        <f>SUM(C2:C6)</f>
        <v>5</v>
      </c>
      <c r="D7" s="21">
        <f>SUM(D2:D4)</f>
        <v>2</v>
      </c>
      <c r="E7" s="21">
        <f>SUM(C7:D7)</f>
        <v>7</v>
      </c>
    </row>
    <row r="9" spans="1:8" ht="27" customHeight="1">
      <c r="G9" s="93" t="s">
        <v>53</v>
      </c>
      <c r="H9" s="136"/>
    </row>
    <row r="10" spans="1:8" ht="20.45" customHeight="1">
      <c r="G10" s="136"/>
      <c r="H10" s="136"/>
    </row>
    <row r="11" spans="1:8" ht="27" customHeight="1">
      <c r="G11" s="136"/>
      <c r="H11" s="136"/>
    </row>
  </sheetData>
  <mergeCells count="1">
    <mergeCell ref="G9:H11"/>
  </mergeCells>
  <hyperlinks>
    <hyperlink ref="B2" location="'ESC-CAL-DISPONIBILIDAD'!D4" display="Escenarios" xr:uid="{00000000-0004-0000-0700-000000000000}"/>
    <hyperlink ref="B3" location="'ESC-CAL-DISPONIBILIDAD'!D26" display="Escenarios" xr:uid="{00000000-0004-0000-0700-000001000000}"/>
    <hyperlink ref="B4" location="'ESC-CAL-DISPONIBILIDAD'!D48" display="Escenarios" xr:uid="{00000000-0004-0000-0700-000002000000}"/>
    <hyperlink ref="B5" location="'ESC-CAL-DISPONIBILIDAD'!D70" display="Escenarios" xr:uid="{00000000-0004-0000-0700-000003000000}"/>
    <hyperlink ref="B6" location="'ESC-CAL-DISPONIBILIDAD'!D92" display="Escenarios" xr:uid="{00000000-0004-0000-0700-000004000000}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>
    <tabColor theme="9" tint="0.59999389629810485"/>
  </sheetPr>
  <dimension ref="A1:E12"/>
  <sheetViews>
    <sheetView workbookViewId="0">
      <selection activeCell="B2" activeCellId="1" sqref="A2:A5 B2"/>
    </sheetView>
  </sheetViews>
  <sheetFormatPr defaultColWidth="11.42578125" defaultRowHeight="15" customHeight="1"/>
  <cols>
    <col min="1" max="1" width="67.7109375" customWidth="1"/>
    <col min="3" max="3" width="15.42578125" customWidth="1"/>
  </cols>
  <sheetData>
    <row r="1" spans="1:5">
      <c r="A1" s="78" t="s">
        <v>24</v>
      </c>
      <c r="B1" s="75" t="s">
        <v>25</v>
      </c>
      <c r="C1" s="75" t="s">
        <v>7</v>
      </c>
      <c r="D1" s="75" t="s">
        <v>2</v>
      </c>
      <c r="E1" s="75" t="s">
        <v>29</v>
      </c>
    </row>
    <row r="2" spans="1:5" ht="50.25" customHeight="1">
      <c r="A2" s="16" t="s">
        <v>54</v>
      </c>
      <c r="B2" s="48" t="s">
        <v>25</v>
      </c>
      <c r="C2" s="42">
        <v>1</v>
      </c>
      <c r="D2" s="41">
        <v>0</v>
      </c>
      <c r="E2" s="41">
        <f>C2+D2</f>
        <v>1</v>
      </c>
    </row>
    <row r="3" spans="1:5" ht="33" customHeight="1">
      <c r="A3" s="16" t="s">
        <v>55</v>
      </c>
      <c r="B3" s="48" t="s">
        <v>25</v>
      </c>
      <c r="C3" s="38">
        <v>1</v>
      </c>
      <c r="D3" s="20">
        <v>0</v>
      </c>
      <c r="E3" s="41">
        <f>C3+D3</f>
        <v>1</v>
      </c>
    </row>
    <row r="4" spans="1:5" ht="50.25" customHeight="1">
      <c r="A4" s="16" t="s">
        <v>56</v>
      </c>
      <c r="B4" s="48" t="s">
        <v>25</v>
      </c>
      <c r="C4" s="37">
        <v>1</v>
      </c>
      <c r="D4" s="35">
        <v>1</v>
      </c>
      <c r="E4" s="41">
        <f>C4+D4</f>
        <v>2</v>
      </c>
    </row>
    <row r="5" spans="1:5" ht="33" customHeight="1">
      <c r="A5" s="56" t="s">
        <v>57</v>
      </c>
      <c r="B5" s="48" t="s">
        <v>25</v>
      </c>
      <c r="C5" s="37">
        <v>1</v>
      </c>
      <c r="D5" s="35">
        <v>0</v>
      </c>
      <c r="E5" s="41">
        <f>C5+D5</f>
        <v>1</v>
      </c>
    </row>
    <row r="6" spans="1:5">
      <c r="A6" s="2"/>
      <c r="C6" s="21">
        <f>SUM(C2:C5)</f>
        <v>4</v>
      </c>
      <c r="D6" s="21">
        <f>SUM(D2:D5)</f>
        <v>1</v>
      </c>
      <c r="E6" s="21">
        <f>SUM(E2:E5)</f>
        <v>5</v>
      </c>
    </row>
    <row r="7" spans="1:5">
      <c r="A7" s="2"/>
    </row>
    <row r="8" spans="1:5">
      <c r="A8" s="2"/>
    </row>
    <row r="9" spans="1:5">
      <c r="A9" s="2"/>
    </row>
    <row r="10" spans="1:5">
      <c r="A10" s="2"/>
    </row>
    <row r="11" spans="1:5">
      <c r="A11" s="2"/>
    </row>
    <row r="12" spans="1:5">
      <c r="A12" s="2"/>
    </row>
  </sheetData>
  <hyperlinks>
    <hyperlink ref="B2" location="'ESC-CAL-ESCALABILIDAD'!D4" display="Escenarios" xr:uid="{00000000-0004-0000-0800-000000000000}"/>
    <hyperlink ref="B3" location="'ESC-CAL-ESCALABILIDAD'!D26" display="Escenarios" xr:uid="{00000000-0004-0000-0800-000001000000}"/>
    <hyperlink ref="B4" location="'ESC-CAL-ESCALABILIDAD'!D59" display="Escenarios" xr:uid="{00000000-0004-0000-0800-000002000000}"/>
    <hyperlink ref="B5" location="'ESC-CAL-ESCALABILIDAD'!D81" display="Escenarios" xr:uid="{00000000-0004-0000-0800-000003000000}"/>
  </hyperlink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6">
    <tabColor theme="9" tint="0.59999389629810485"/>
  </sheetPr>
  <dimension ref="A1:J13"/>
  <sheetViews>
    <sheetView topLeftCell="A8" workbookViewId="0">
      <selection activeCell="B9" activeCellId="1" sqref="B1 B9"/>
    </sheetView>
  </sheetViews>
  <sheetFormatPr defaultColWidth="11.42578125" defaultRowHeight="14.45"/>
  <cols>
    <col min="1" max="1" width="74.5703125" customWidth="1"/>
    <col min="3" max="3" width="19.140625" customWidth="1"/>
    <col min="4" max="4" width="17.42578125" customWidth="1"/>
    <col min="5" max="5" width="13.28515625" customWidth="1"/>
  </cols>
  <sheetData>
    <row r="1" spans="1:10" ht="21" customHeight="1">
      <c r="A1" s="78" t="s">
        <v>24</v>
      </c>
      <c r="B1" s="74" t="s">
        <v>25</v>
      </c>
      <c r="C1" s="74" t="s">
        <v>7</v>
      </c>
      <c r="D1" s="74" t="s">
        <v>2</v>
      </c>
      <c r="E1" s="74" t="s">
        <v>29</v>
      </c>
      <c r="G1" s="94" t="s">
        <v>58</v>
      </c>
      <c r="H1" s="136"/>
      <c r="I1" s="136"/>
      <c r="J1" s="46"/>
    </row>
    <row r="2" spans="1:10" ht="37.5" customHeight="1">
      <c r="A2" s="8" t="s">
        <v>59</v>
      </c>
      <c r="B2" s="57" t="s">
        <v>25</v>
      </c>
      <c r="C2" s="9">
        <v>0</v>
      </c>
      <c r="D2" s="9">
        <v>1</v>
      </c>
      <c r="E2" s="9">
        <f>SUM(C2:D2)</f>
        <v>1</v>
      </c>
      <c r="G2" s="136"/>
      <c r="H2" s="136"/>
      <c r="I2" s="136"/>
      <c r="J2" s="46"/>
    </row>
    <row r="3" spans="1:10" ht="33" customHeight="1">
      <c r="A3" s="8" t="s">
        <v>60</v>
      </c>
      <c r="B3" s="57" t="s">
        <v>25</v>
      </c>
      <c r="C3" s="9">
        <v>0</v>
      </c>
      <c r="D3" s="9">
        <v>1</v>
      </c>
      <c r="E3" s="9">
        <f>SUM(C3:D3)</f>
        <v>1</v>
      </c>
      <c r="G3" s="136"/>
      <c r="H3" s="136"/>
      <c r="I3" s="136"/>
      <c r="J3" s="46"/>
    </row>
    <row r="4" spans="1:10" ht="33" customHeight="1">
      <c r="A4" s="8" t="s">
        <v>61</v>
      </c>
      <c r="B4" s="57" t="s">
        <v>25</v>
      </c>
      <c r="C4" s="9">
        <v>0</v>
      </c>
      <c r="D4" s="9">
        <v>1</v>
      </c>
      <c r="E4" s="9">
        <f>SUM(C4:D4)</f>
        <v>1</v>
      </c>
      <c r="G4" s="46"/>
      <c r="H4" s="46"/>
      <c r="I4" s="46"/>
      <c r="J4" s="46"/>
    </row>
    <row r="5" spans="1:10" ht="33" customHeight="1">
      <c r="A5" s="8" t="s">
        <v>62</v>
      </c>
      <c r="B5" s="57" t="s">
        <v>25</v>
      </c>
      <c r="C5" s="9">
        <v>0</v>
      </c>
      <c r="D5" s="9">
        <v>1</v>
      </c>
      <c r="E5" s="9">
        <f>SUM(C5:D5)</f>
        <v>1</v>
      </c>
      <c r="G5" s="46"/>
      <c r="H5" s="46"/>
      <c r="I5" s="46"/>
      <c r="J5" s="46"/>
    </row>
    <row r="6" spans="1:10" ht="33" customHeight="1">
      <c r="A6" s="83" t="s">
        <v>63</v>
      </c>
      <c r="B6" s="82" t="s">
        <v>25</v>
      </c>
      <c r="C6" s="39">
        <v>0</v>
      </c>
      <c r="D6" s="39">
        <v>1</v>
      </c>
      <c r="E6" s="39">
        <f>SUM(C6:D6)</f>
        <v>1</v>
      </c>
      <c r="G6" s="46"/>
      <c r="H6" s="46"/>
      <c r="I6" s="46"/>
      <c r="J6" s="46"/>
    </row>
    <row r="7" spans="1:10" ht="33" customHeight="1">
      <c r="A7" s="40" t="s">
        <v>64</v>
      </c>
      <c r="B7" s="84" t="s">
        <v>25</v>
      </c>
      <c r="C7" s="35">
        <v>0</v>
      </c>
      <c r="D7" s="35">
        <v>1</v>
      </c>
      <c r="E7" s="39">
        <f>SUM(C7:D7)</f>
        <v>1</v>
      </c>
      <c r="G7" s="46"/>
      <c r="H7" s="46"/>
      <c r="I7" s="46"/>
      <c r="J7" s="46"/>
    </row>
    <row r="8" spans="1:10" ht="47.25" customHeight="1">
      <c r="A8" s="40" t="s">
        <v>65</v>
      </c>
      <c r="B8" s="84" t="s">
        <v>25</v>
      </c>
      <c r="C8" s="35">
        <v>0</v>
      </c>
      <c r="D8" s="35">
        <v>1</v>
      </c>
      <c r="E8" s="39">
        <f>SUM(C8:D8)</f>
        <v>1</v>
      </c>
    </row>
    <row r="9" spans="1:10" ht="50.25" customHeight="1">
      <c r="A9" s="40" t="s">
        <v>66</v>
      </c>
      <c r="B9" s="84" t="s">
        <v>25</v>
      </c>
      <c r="C9" s="35">
        <v>0</v>
      </c>
      <c r="D9" s="35">
        <v>1</v>
      </c>
      <c r="E9" s="39">
        <f>SUM(C9:D9)</f>
        <v>1</v>
      </c>
    </row>
    <row r="10" spans="1:10" ht="50.25" customHeight="1">
      <c r="A10" s="40" t="s">
        <v>67</v>
      </c>
      <c r="B10" s="84" t="s">
        <v>25</v>
      </c>
      <c r="C10" s="35">
        <v>0</v>
      </c>
      <c r="D10" s="35">
        <v>1</v>
      </c>
      <c r="E10" s="39">
        <f>SUM(C10:D10)</f>
        <v>1</v>
      </c>
    </row>
    <row r="11" spans="1:10" ht="50.25" customHeight="1">
      <c r="A11" s="54" t="s">
        <v>68</v>
      </c>
      <c r="B11" s="19" t="s">
        <v>25</v>
      </c>
      <c r="C11" s="35">
        <v>0</v>
      </c>
      <c r="D11" s="35">
        <v>1</v>
      </c>
      <c r="E11" s="39">
        <f>SUM(C11:D11)</f>
        <v>1</v>
      </c>
    </row>
    <row r="12" spans="1:10" ht="15" customHeight="1">
      <c r="C12" s="21">
        <f>SUM(C2:C11)</f>
        <v>0</v>
      </c>
      <c r="D12" s="21">
        <f>SUM(D2:D11)</f>
        <v>10</v>
      </c>
      <c r="E12" s="21">
        <f>SUM(E2:E11)</f>
        <v>10</v>
      </c>
    </row>
    <row r="13" spans="1:10" ht="15" customHeight="1"/>
  </sheetData>
  <mergeCells count="1">
    <mergeCell ref="G1:I3"/>
  </mergeCells>
  <hyperlinks>
    <hyperlink ref="B2" location="'ESC-CAL-EXPERIENCIA DE USUARIO'!D4" display="Escenarios" xr:uid="{00000000-0004-0000-0900-000000000000}"/>
    <hyperlink ref="B3" location="'ESC-CAL-EXPERIENCIA DE USUARIO'!D26" display="Escenarios" xr:uid="{00000000-0004-0000-0900-000001000000}"/>
    <hyperlink ref="B4" location="'ESC-CAL-EXPERIENCIA DE USUARIO'!D48" display="Escenarios" xr:uid="{00000000-0004-0000-0900-000002000000}"/>
    <hyperlink ref="B5" location="'ESC-CAL-EXPERIENCIA DE USUARIO'!D70" display="Escenarios" xr:uid="{00000000-0004-0000-0900-000003000000}"/>
    <hyperlink ref="B6" location="'ESC-CAL-EXPERIENCIA DE USUARIO'!D92" display="Escenarios" xr:uid="{00000000-0004-0000-0900-000004000000}"/>
    <hyperlink ref="B7" location="'ESC-CAL-EXPERIENCIA DE USUARIO'!D4" display="Escenarios" xr:uid="{00000000-0004-0000-0900-000005000000}"/>
    <hyperlink ref="B8" location="'ESC-CAL-EXPERIENCIA DE USUARIO'!D4" display="Escenarios" xr:uid="{00000000-0004-0000-0900-000006000000}"/>
    <hyperlink ref="B9" location="'ESC-CAL-EXPERIENCIA DE USUARIO'!D4" display="Escenarios" xr:uid="{00000000-0004-0000-0900-000007000000}"/>
    <hyperlink ref="B10" location="'ESC-CAL-EXPERIENCIA DE USUARIO'!D4" display="Escenarios" xr:uid="{00000000-0004-0000-0900-000008000000}"/>
    <hyperlink ref="B11" location="'ESC-CAL-EXPERIENCIA DE USUARIO'!D4" display="Escenarios" xr:uid="{00000000-0004-0000-0900-000009000000}"/>
  </hyperlink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5">
    <tabColor theme="9" tint="0.59999389629810485"/>
  </sheetPr>
  <dimension ref="A1:J10"/>
  <sheetViews>
    <sheetView workbookViewId="0">
      <selection activeCell="B2" activeCellId="1" sqref="A2:A4 B2"/>
    </sheetView>
  </sheetViews>
  <sheetFormatPr defaultColWidth="11.42578125" defaultRowHeight="14.45"/>
  <cols>
    <col min="1" max="1" width="74.140625" customWidth="1"/>
    <col min="3" max="3" width="16.28515625" customWidth="1"/>
    <col min="4" max="4" width="18" customWidth="1"/>
  </cols>
  <sheetData>
    <row r="1" spans="1:10" ht="15" customHeight="1">
      <c r="A1" s="73" t="s">
        <v>24</v>
      </c>
      <c r="B1" s="75" t="s">
        <v>42</v>
      </c>
      <c r="C1" s="75" t="s">
        <v>7</v>
      </c>
      <c r="D1" s="75" t="s">
        <v>2</v>
      </c>
      <c r="E1" s="75" t="s">
        <v>29</v>
      </c>
    </row>
    <row r="2" spans="1:10" ht="66" customHeight="1">
      <c r="A2" s="17" t="s">
        <v>69</v>
      </c>
      <c r="B2" s="19" t="s">
        <v>42</v>
      </c>
      <c r="C2" s="20">
        <v>1</v>
      </c>
      <c r="D2" s="20">
        <v>1</v>
      </c>
      <c r="E2" s="20">
        <f>SUM(C2:D2)</f>
        <v>2</v>
      </c>
    </row>
    <row r="3" spans="1:10" ht="54.75" customHeight="1">
      <c r="A3" s="40" t="s">
        <v>70</v>
      </c>
      <c r="B3" s="19" t="s">
        <v>42</v>
      </c>
      <c r="C3" s="20">
        <v>1</v>
      </c>
      <c r="D3" s="20">
        <v>0</v>
      </c>
      <c r="E3" s="20">
        <f>SUM(C3:D3)</f>
        <v>1</v>
      </c>
    </row>
    <row r="4" spans="1:10" ht="60" customHeight="1">
      <c r="A4" s="40" t="s">
        <v>71</v>
      </c>
      <c r="B4" s="19" t="s">
        <v>42</v>
      </c>
      <c r="C4" s="20">
        <v>1</v>
      </c>
      <c r="D4" s="20">
        <v>0</v>
      </c>
      <c r="E4" s="20">
        <f>SUM(C4:D4)</f>
        <v>1</v>
      </c>
    </row>
    <row r="5" spans="1:10" ht="15" customHeight="1">
      <c r="C5" s="21">
        <f>SUM(C2:C4)</f>
        <v>3</v>
      </c>
      <c r="D5" s="21">
        <f>SUM(D2:D2)</f>
        <v>1</v>
      </c>
      <c r="E5" s="21">
        <f>SUM(C5:D5)</f>
        <v>4</v>
      </c>
      <c r="H5" s="93" t="s">
        <v>72</v>
      </c>
      <c r="I5" s="136"/>
      <c r="J5" s="136"/>
    </row>
    <row r="6" spans="1:10" ht="15" customHeight="1">
      <c r="H6" s="136"/>
      <c r="I6" s="136"/>
      <c r="J6" s="136"/>
    </row>
    <row r="7" spans="1:10" ht="36" customHeight="1">
      <c r="H7" s="136"/>
      <c r="I7" s="136"/>
      <c r="J7" s="136"/>
    </row>
    <row r="8" spans="1:10" ht="34.15" customHeight="1">
      <c r="H8" s="136"/>
      <c r="I8" s="136"/>
      <c r="J8" s="136"/>
    </row>
    <row r="9" spans="1:10">
      <c r="H9" s="136"/>
      <c r="I9" s="136"/>
      <c r="J9" s="136"/>
    </row>
    <row r="10" spans="1:10">
      <c r="H10" s="136"/>
      <c r="I10" s="136"/>
      <c r="J10" s="136"/>
    </row>
  </sheetData>
  <mergeCells count="1">
    <mergeCell ref="H5:J10"/>
  </mergeCells>
  <hyperlinks>
    <hyperlink ref="B2" location="'ESC-CAL-INTEROPERABILIDAD'!A1" display="escenario" xr:uid="{00000000-0004-0000-0C00-000000000000}"/>
    <hyperlink ref="B3" location="'ESC-CAL-INTEROPERABILIDAD'!A1" display="escenario" xr:uid="{00000000-0004-0000-0C00-000001000000}"/>
    <hyperlink ref="B4" location="'ESC-CAL-INTEROPERABILIDAD'!A1" display="escenario" xr:uid="{00000000-0004-0000-0C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">
    <tabColor theme="9" tint="0.59999389629810485"/>
  </sheetPr>
  <dimension ref="A1:I9"/>
  <sheetViews>
    <sheetView topLeftCell="A4" workbookViewId="0">
      <selection activeCell="B6" activeCellId="1" sqref="A6 B6"/>
    </sheetView>
  </sheetViews>
  <sheetFormatPr defaultColWidth="11.42578125" defaultRowHeight="14.45"/>
  <cols>
    <col min="1" max="1" width="64.42578125" customWidth="1"/>
    <col min="3" max="3" width="15.42578125" customWidth="1"/>
    <col min="4" max="4" width="23" customWidth="1"/>
  </cols>
  <sheetData>
    <row r="1" spans="1:9" ht="15" customHeight="1">
      <c r="A1" s="70" t="s">
        <v>24</v>
      </c>
      <c r="B1" s="79" t="s">
        <v>42</v>
      </c>
      <c r="C1" s="79" t="s">
        <v>7</v>
      </c>
      <c r="D1" s="75" t="s">
        <v>2</v>
      </c>
      <c r="E1" s="75" t="s">
        <v>29</v>
      </c>
    </row>
    <row r="2" spans="1:9" ht="66.75" customHeight="1">
      <c r="A2" s="51" t="s">
        <v>73</v>
      </c>
      <c r="B2" s="19" t="s">
        <v>42</v>
      </c>
      <c r="C2" s="38">
        <v>1</v>
      </c>
      <c r="D2" s="20">
        <v>1</v>
      </c>
      <c r="E2" s="20">
        <f>SUM(C2:D2)</f>
        <v>2</v>
      </c>
    </row>
    <row r="3" spans="1:9" ht="50.25" customHeight="1">
      <c r="A3" s="51" t="s">
        <v>74</v>
      </c>
      <c r="B3" s="19" t="s">
        <v>42</v>
      </c>
      <c r="C3" s="37">
        <v>0</v>
      </c>
      <c r="D3" s="35">
        <v>1</v>
      </c>
      <c r="E3" s="20">
        <f>SUM(C3:D3)</f>
        <v>1</v>
      </c>
    </row>
    <row r="4" spans="1:9" ht="50.25" customHeight="1">
      <c r="A4" s="54" t="s">
        <v>75</v>
      </c>
      <c r="B4" s="19" t="s">
        <v>42</v>
      </c>
      <c r="C4" s="37">
        <v>1</v>
      </c>
      <c r="D4" s="35">
        <v>1</v>
      </c>
      <c r="E4" s="20">
        <f>SUM(C4:D4)</f>
        <v>2</v>
      </c>
    </row>
    <row r="5" spans="1:9" ht="66.75" customHeight="1">
      <c r="A5" s="54" t="s">
        <v>76</v>
      </c>
      <c r="B5" s="19" t="s">
        <v>42</v>
      </c>
      <c r="C5" s="37">
        <v>1</v>
      </c>
      <c r="D5" s="35">
        <v>1</v>
      </c>
      <c r="E5" s="20">
        <f>SUM(C5:D5)</f>
        <v>2</v>
      </c>
      <c r="G5" s="93" t="s">
        <v>77</v>
      </c>
      <c r="H5" s="136"/>
      <c r="I5" s="136"/>
    </row>
    <row r="6" spans="1:9" ht="66.75" customHeight="1">
      <c r="A6" s="54" t="s">
        <v>78</v>
      </c>
      <c r="B6" s="19" t="s">
        <v>42</v>
      </c>
      <c r="C6" s="37">
        <v>1</v>
      </c>
      <c r="D6" s="35">
        <v>0</v>
      </c>
      <c r="E6" s="20">
        <f>SUM(C6:D6)</f>
        <v>1</v>
      </c>
      <c r="G6" s="136"/>
      <c r="H6" s="136"/>
      <c r="I6" s="136"/>
    </row>
    <row r="7" spans="1:9" ht="15" customHeight="1">
      <c r="B7" s="3"/>
      <c r="C7" s="36">
        <f>SUM(C2:C6)</f>
        <v>4</v>
      </c>
      <c r="D7" s="36">
        <f>SUM(D2:D6)</f>
        <v>4</v>
      </c>
      <c r="E7" s="36">
        <f>SUM(E2:E6)</f>
        <v>8</v>
      </c>
      <c r="G7" s="136"/>
      <c r="H7" s="136"/>
      <c r="I7" s="136"/>
    </row>
    <row r="8" spans="1:9">
      <c r="G8" s="136"/>
      <c r="H8" s="136"/>
      <c r="I8" s="136"/>
    </row>
    <row r="9" spans="1:9">
      <c r="G9" s="136"/>
      <c r="H9" s="136"/>
      <c r="I9" s="136"/>
    </row>
  </sheetData>
  <mergeCells count="1">
    <mergeCell ref="G5:I9"/>
  </mergeCells>
  <hyperlinks>
    <hyperlink ref="B2" location="'ESC-CAL-RENDIMIENTO'!A1" display="escenario" xr:uid="{00000000-0004-0000-0E00-000000000000}"/>
    <hyperlink ref="B3" location="'ESC-CAL-RENDIMIENTO'!A1" display="escenario" xr:uid="{00000000-0004-0000-0E00-000001000000}"/>
    <hyperlink ref="B4" location="'ESC-CAL-RENDIMIENTO'!A1" display="escenario" xr:uid="{00000000-0004-0000-0E00-000002000000}"/>
    <hyperlink ref="B5" location="'ESC-CAL-RENDIMIENTO'!A1" display="escenario" xr:uid="{00000000-0004-0000-0E00-000003000000}"/>
    <hyperlink ref="B6" location="'ESC-CAL-RENDIMIENTO'!A1" display="escenario" xr:uid="{00000000-0004-0000-0E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tabColor theme="9" tint="0.59999389629810485"/>
  </sheetPr>
  <dimension ref="A1:E14"/>
  <sheetViews>
    <sheetView topLeftCell="A4" zoomScaleNormal="100" workbookViewId="0">
      <selection activeCell="B7" sqref="B7"/>
    </sheetView>
  </sheetViews>
  <sheetFormatPr defaultColWidth="11.42578125" defaultRowHeight="14.45"/>
  <cols>
    <col min="1" max="1" width="73.85546875" style="2" customWidth="1"/>
    <col min="3" max="3" width="15.7109375" customWidth="1"/>
    <col min="4" max="4" width="19.140625" customWidth="1"/>
  </cols>
  <sheetData>
    <row r="1" spans="1:5" ht="16.5" customHeight="1">
      <c r="A1" s="77" t="s">
        <v>47</v>
      </c>
      <c r="B1" s="75" t="s">
        <v>25</v>
      </c>
      <c r="C1" s="75" t="s">
        <v>7</v>
      </c>
      <c r="D1" s="75" t="s">
        <v>2</v>
      </c>
      <c r="E1" s="74" t="s">
        <v>29</v>
      </c>
    </row>
    <row r="2" spans="1:5" ht="50.25" customHeight="1">
      <c r="A2" s="52" t="s">
        <v>79</v>
      </c>
      <c r="B2" s="48" t="s">
        <v>25</v>
      </c>
      <c r="C2" s="37">
        <v>1</v>
      </c>
      <c r="D2" s="35">
        <v>1</v>
      </c>
      <c r="E2" s="25">
        <f>SUM(C2:D2)</f>
        <v>2</v>
      </c>
    </row>
    <row r="3" spans="1:5" ht="30" customHeight="1">
      <c r="A3" s="17" t="s">
        <v>80</v>
      </c>
      <c r="B3" s="48" t="s">
        <v>25</v>
      </c>
      <c r="C3" s="35">
        <v>0</v>
      </c>
      <c r="D3" s="35">
        <v>1</v>
      </c>
      <c r="E3" s="25">
        <f>SUM(C3:D3)</f>
        <v>1</v>
      </c>
    </row>
    <row r="4" spans="1:5" ht="66.75" customHeight="1">
      <c r="A4" s="17" t="s">
        <v>81</v>
      </c>
      <c r="B4" s="48" t="s">
        <v>25</v>
      </c>
      <c r="C4" s="35">
        <v>0</v>
      </c>
      <c r="D4" s="35">
        <v>1</v>
      </c>
      <c r="E4" s="25">
        <f>SUM(C4:D4)</f>
        <v>1</v>
      </c>
    </row>
    <row r="5" spans="1:5" ht="30.75" customHeight="1">
      <c r="A5" s="17" t="s">
        <v>82</v>
      </c>
      <c r="B5" s="48" t="s">
        <v>25</v>
      </c>
      <c r="C5" s="35">
        <v>1</v>
      </c>
      <c r="D5" s="35">
        <v>0</v>
      </c>
      <c r="E5" s="25">
        <f>SUM(C5:D5)</f>
        <v>1</v>
      </c>
    </row>
    <row r="6" spans="1:5" ht="50.25" customHeight="1">
      <c r="A6" s="17" t="s">
        <v>83</v>
      </c>
      <c r="B6" s="48" t="s">
        <v>25</v>
      </c>
      <c r="C6" s="35">
        <v>1</v>
      </c>
      <c r="D6" s="35">
        <v>0</v>
      </c>
      <c r="E6" s="25">
        <f>SUM(C6:D6)</f>
        <v>1</v>
      </c>
    </row>
    <row r="7" spans="1:5" ht="50.25" customHeight="1">
      <c r="A7" s="17" t="s">
        <v>84</v>
      </c>
      <c r="B7" s="48" t="s">
        <v>25</v>
      </c>
      <c r="C7" s="35">
        <v>1</v>
      </c>
      <c r="D7" s="35">
        <v>1</v>
      </c>
      <c r="E7" s="25">
        <f>SUM(C7:D7)</f>
        <v>2</v>
      </c>
    </row>
    <row r="8" spans="1:5" ht="15" customHeight="1">
      <c r="B8" s="3"/>
      <c r="C8" s="44">
        <f>SUM(C2:C7)</f>
        <v>4</v>
      </c>
      <c r="D8" s="44">
        <f>SUM(D2:D7)</f>
        <v>4</v>
      </c>
      <c r="E8" s="44">
        <f>SUM(E2:E7)</f>
        <v>8</v>
      </c>
    </row>
    <row r="9" spans="1:5">
      <c r="B9" s="3"/>
    </row>
    <row r="10" spans="1:5" ht="15" customHeight="1"/>
    <row r="11" spans="1:5" ht="15" customHeight="1"/>
    <row r="12" spans="1:5" ht="15" customHeight="1"/>
    <row r="13" spans="1:5" ht="15" customHeight="1"/>
    <row r="14" spans="1:5" ht="15"/>
  </sheetData>
  <hyperlinks>
    <hyperlink ref="B2" location="'ESC-CAL-SEGURIDAD'!D4" display="Escenarios" xr:uid="{00000000-0004-0000-0F00-000000000000}"/>
    <hyperlink ref="B3" location="'ESC-CAL-SEGURIDAD'!D37" display="Escenarios" xr:uid="{00000000-0004-0000-0F00-000001000000}"/>
    <hyperlink ref="B4" location="'ESC-CAL-SEGURIDAD'!D59" display="Escenarios" xr:uid="{00000000-0004-0000-0F00-000002000000}"/>
    <hyperlink ref="B5" location="'ESC-CAL-SEGURIDAD'!D103" display="Escenarios" xr:uid="{00000000-0004-0000-0F00-000003000000}"/>
    <hyperlink ref="B6" location="'ESC-CAL-SEGURIDAD'!D125" display="Escenarios" xr:uid="{00000000-0004-0000-0F00-000004000000}"/>
    <hyperlink ref="B7" location="'ESC-CAL-SEGURIDAD'!D181" display="Escenarios" xr:uid="{00000000-0004-0000-0F00-000006000000}"/>
  </hyperlink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tabColor theme="9" tint="0.59999389629810485"/>
  </sheetPr>
  <dimension ref="A1:P177"/>
  <sheetViews>
    <sheetView topLeftCell="A64" workbookViewId="0">
      <selection activeCell="N67" sqref="N67"/>
    </sheetView>
  </sheetViews>
  <sheetFormatPr defaultColWidth="11.42578125" defaultRowHeight="15"/>
  <cols>
    <col min="1" max="1" width="16.85546875" style="59" customWidth="1"/>
    <col min="2" max="2" width="13" style="59" customWidth="1"/>
    <col min="3" max="3" width="15.28515625" style="59" customWidth="1"/>
    <col min="4" max="4" width="14.28515625" style="59" customWidth="1"/>
    <col min="5" max="8" width="11.42578125" style="59" customWidth="1"/>
    <col min="9" max="9" width="15.42578125" style="59" customWidth="1"/>
    <col min="10" max="10" width="17" style="59" customWidth="1"/>
    <col min="11" max="11" width="12.85546875" style="59" customWidth="1"/>
    <col min="12" max="12" width="22.28515625" style="59" customWidth="1"/>
    <col min="13" max="13" width="13.42578125" style="59" customWidth="1"/>
    <col min="14" max="14" width="99.140625" style="59" customWidth="1"/>
    <col min="15" max="15" width="11.42578125" style="59" customWidth="1"/>
    <col min="16" max="16384" width="11.42578125" style="59"/>
  </cols>
  <sheetData>
    <row r="1" spans="1:15">
      <c r="A1" s="60" t="s">
        <v>19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1" t="s">
        <v>85</v>
      </c>
      <c r="B3" s="140"/>
      <c r="C3" s="140"/>
      <c r="D3" s="141" t="str">
        <f>$A$1</f>
        <v>Accesibilidad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>
      <c r="A4" s="101" t="s">
        <v>86</v>
      </c>
      <c r="B4" s="140"/>
      <c r="C4" s="140"/>
      <c r="D4" s="141" t="str">
        <f>Accesibilidad!A2</f>
        <v>Se requiere que los elementos interactivos tengan un tamaño y espaciado suficiente para evitar errores al ser seleccionados.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98" t="s">
        <v>87</v>
      </c>
      <c r="B5" s="144"/>
      <c r="C5" s="145"/>
      <c r="D5" s="141" t="s">
        <v>88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98" t="s">
        <v>89</v>
      </c>
      <c r="B6" s="144"/>
      <c r="C6" s="145"/>
      <c r="D6" s="141" t="s">
        <v>90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98" t="s">
        <v>91</v>
      </c>
      <c r="B7" s="144"/>
      <c r="C7" s="145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>
      <c r="A8" s="98" t="s">
        <v>93</v>
      </c>
      <c r="B8" s="144"/>
      <c r="C8" s="145"/>
      <c r="D8" s="146" t="s">
        <v>94</v>
      </c>
      <c r="E8" s="142"/>
      <c r="F8" s="142"/>
      <c r="G8" s="142"/>
      <c r="H8" s="142"/>
      <c r="I8" s="142"/>
      <c r="J8" s="142"/>
      <c r="K8" s="142"/>
      <c r="L8" s="142"/>
      <c r="M8" s="142"/>
      <c r="N8" s="143"/>
      <c r="O8" s="86"/>
    </row>
    <row r="9" spans="1:15" ht="33" customHeight="1">
      <c r="A9" s="98" t="s">
        <v>95</v>
      </c>
      <c r="B9" s="144"/>
      <c r="C9" s="145"/>
      <c r="D9" s="146" t="s">
        <v>96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32.25" customHeight="1">
      <c r="A10" s="98" t="s">
        <v>97</v>
      </c>
      <c r="B10" s="144"/>
      <c r="C10" s="145"/>
      <c r="D10" s="146" t="s">
        <v>98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>
      <c r="A11" s="96" t="s">
        <v>99</v>
      </c>
      <c r="B11" s="147"/>
      <c r="C11" s="97" t="s">
        <v>100</v>
      </c>
      <c r="D11" s="147"/>
      <c r="E11" s="95" t="s">
        <v>101</v>
      </c>
      <c r="F11" s="147"/>
      <c r="G11" s="95" t="s">
        <v>102</v>
      </c>
      <c r="H11" s="147"/>
      <c r="I11" s="95" t="s">
        <v>103</v>
      </c>
      <c r="J11" s="147"/>
      <c r="K11" s="95" t="s">
        <v>104</v>
      </c>
      <c r="L11" s="147"/>
      <c r="M11" s="64" t="s">
        <v>105</v>
      </c>
      <c r="N11" s="64" t="s">
        <v>106</v>
      </c>
      <c r="O11" s="86"/>
    </row>
    <row r="12" spans="1:15" ht="117" customHeight="1">
      <c r="A12" s="148" t="s">
        <v>107</v>
      </c>
      <c r="B12" s="149"/>
      <c r="C12" s="150" t="s">
        <v>108</v>
      </c>
      <c r="D12" s="149"/>
      <c r="E12" s="150" t="s">
        <v>109</v>
      </c>
      <c r="F12" s="149"/>
      <c r="G12" s="151" t="s">
        <v>110</v>
      </c>
      <c r="H12" s="149"/>
      <c r="I12" s="150" t="s">
        <v>111</v>
      </c>
      <c r="J12" s="149"/>
      <c r="K12" s="150" t="s">
        <v>112</v>
      </c>
      <c r="L12" s="149"/>
      <c r="M12" s="152"/>
      <c r="N12" s="153" t="s">
        <v>113</v>
      </c>
      <c r="O12" s="86"/>
    </row>
    <row r="13" spans="1:15">
      <c r="A13" s="87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1" t="s">
        <v>85</v>
      </c>
      <c r="B14" s="140"/>
      <c r="C14" s="140"/>
      <c r="D14" s="141" t="str">
        <f>$A$1</f>
        <v>Accesibilidad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>
      <c r="A15" s="101" t="s">
        <v>86</v>
      </c>
      <c r="B15" s="140"/>
      <c r="C15" s="140"/>
      <c r="D15" s="141" t="str">
        <f>Accesibilidad!A3</f>
        <v>Se requiere que la aplicación utilice tamaños de texto fijos y legibles, asegurando lectura cómoda sin necesidad de ajustes manuales.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98" t="s">
        <v>87</v>
      </c>
      <c r="B16" s="144"/>
      <c r="C16" s="145"/>
      <c r="D16" s="141" t="s">
        <v>114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6">
      <c r="A17" s="98" t="s">
        <v>89</v>
      </c>
      <c r="B17" s="144"/>
      <c r="C17" s="145"/>
      <c r="D17" s="141" t="s">
        <v>115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  <c r="P17" s="139"/>
    </row>
    <row r="18" spans="1:16">
      <c r="A18" s="98" t="s">
        <v>91</v>
      </c>
      <c r="B18" s="144"/>
      <c r="C18" s="145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  <c r="P18" s="139"/>
    </row>
    <row r="19" spans="1:16">
      <c r="A19" s="98" t="s">
        <v>93</v>
      </c>
      <c r="B19" s="144"/>
      <c r="C19" s="145"/>
      <c r="D19" s="146" t="s">
        <v>117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3"/>
      <c r="O19" s="86"/>
      <c r="P19" s="139"/>
    </row>
    <row r="20" spans="1:16" ht="37.5" customHeight="1">
      <c r="A20" s="98" t="s">
        <v>95</v>
      </c>
      <c r="B20" s="144"/>
      <c r="C20" s="145"/>
      <c r="D20" s="146" t="s">
        <v>118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  <c r="P20" s="139"/>
    </row>
    <row r="21" spans="1:16" ht="25.5" customHeight="1">
      <c r="A21" s="98" t="s">
        <v>97</v>
      </c>
      <c r="B21" s="144"/>
      <c r="C21" s="145"/>
      <c r="D21" s="146" t="s">
        <v>119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  <c r="P21" s="139"/>
    </row>
    <row r="22" spans="1:16">
      <c r="A22" s="96" t="s">
        <v>99</v>
      </c>
      <c r="B22" s="147"/>
      <c r="C22" s="97" t="s">
        <v>100</v>
      </c>
      <c r="D22" s="147"/>
      <c r="E22" s="95" t="s">
        <v>101</v>
      </c>
      <c r="F22" s="147"/>
      <c r="G22" s="95" t="s">
        <v>102</v>
      </c>
      <c r="H22" s="147"/>
      <c r="I22" s="95" t="s">
        <v>103</v>
      </c>
      <c r="J22" s="147"/>
      <c r="K22" s="95" t="s">
        <v>104</v>
      </c>
      <c r="L22" s="147"/>
      <c r="M22" s="64" t="s">
        <v>105</v>
      </c>
      <c r="N22" s="64" t="s">
        <v>106</v>
      </c>
      <c r="O22" s="86"/>
      <c r="P22" s="139"/>
    </row>
    <row r="23" spans="1:16" ht="80.25" customHeight="1">
      <c r="A23" s="148" t="s">
        <v>120</v>
      </c>
      <c r="B23" s="149"/>
      <c r="C23" s="150" t="s">
        <v>121</v>
      </c>
      <c r="D23" s="149"/>
      <c r="E23" s="150" t="s">
        <v>109</v>
      </c>
      <c r="F23" s="149"/>
      <c r="G23" s="151" t="s">
        <v>110</v>
      </c>
      <c r="H23" s="149"/>
      <c r="I23" s="150" t="s">
        <v>122</v>
      </c>
      <c r="J23" s="149"/>
      <c r="K23" s="150" t="s">
        <v>123</v>
      </c>
      <c r="L23" s="149"/>
      <c r="M23" s="154"/>
      <c r="N23" s="153" t="s">
        <v>124</v>
      </c>
      <c r="O23" s="86"/>
      <c r="P23" s="139"/>
    </row>
    <row r="24" spans="1:16">
      <c r="A24" s="87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139"/>
    </row>
    <row r="25" spans="1:16">
      <c r="A25" s="101" t="s">
        <v>85</v>
      </c>
      <c r="B25" s="140"/>
      <c r="C25" s="140"/>
      <c r="D25" s="141" t="str">
        <f>$A$1</f>
        <v>Accesibilidad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  <c r="P25" s="139"/>
    </row>
    <row r="26" spans="1:16" ht="33.75" customHeight="1">
      <c r="A26" s="101" t="s">
        <v>86</v>
      </c>
      <c r="B26" s="140"/>
      <c r="C26" s="140"/>
      <c r="D26" s="141" t="str">
        <f>Accesibilidad!A3</f>
        <v>Se requiere que la aplicación utilice tamaños de texto fijos y legibles, asegurando lectura cómoda sin necesidad de ajustes manuales.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  <c r="P26" s="139"/>
    </row>
    <row r="27" spans="1:16" ht="15" customHeight="1">
      <c r="A27" s="98" t="s">
        <v>87</v>
      </c>
      <c r="B27" s="144"/>
      <c r="C27" s="145"/>
      <c r="D27" s="141" t="s">
        <v>125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  <c r="P27" s="139"/>
    </row>
    <row r="28" spans="1:16" ht="15" customHeight="1">
      <c r="A28" s="98" t="s">
        <v>89</v>
      </c>
      <c r="B28" s="144"/>
      <c r="C28" s="145"/>
      <c r="D28" s="141" t="s">
        <v>126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  <c r="P28" s="139"/>
    </row>
    <row r="29" spans="1:16" ht="27.75" customHeight="1">
      <c r="A29" s="98" t="s">
        <v>91</v>
      </c>
      <c r="B29" s="144"/>
      <c r="C29" s="145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  <c r="P29" s="155"/>
    </row>
    <row r="30" spans="1:16" ht="15" customHeight="1">
      <c r="A30" s="98" t="s">
        <v>93</v>
      </c>
      <c r="B30" s="144"/>
      <c r="C30" s="145"/>
      <c r="D30" s="146" t="s">
        <v>127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3"/>
      <c r="O30" s="86"/>
      <c r="P30" s="139"/>
    </row>
    <row r="31" spans="1:16">
      <c r="A31" s="98" t="s">
        <v>95</v>
      </c>
      <c r="B31" s="144"/>
      <c r="C31" s="145"/>
      <c r="D31" s="146" t="s">
        <v>128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  <c r="P31" s="139"/>
    </row>
    <row r="32" spans="1:16">
      <c r="A32" s="98" t="s">
        <v>97</v>
      </c>
      <c r="B32" s="144"/>
      <c r="C32" s="145"/>
      <c r="D32" s="146" t="s">
        <v>129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  <c r="P32" s="139"/>
    </row>
    <row r="33" spans="1:16">
      <c r="A33" s="96" t="s">
        <v>99</v>
      </c>
      <c r="B33" s="147"/>
      <c r="C33" s="97" t="s">
        <v>100</v>
      </c>
      <c r="D33" s="147"/>
      <c r="E33" s="95" t="s">
        <v>101</v>
      </c>
      <c r="F33" s="147"/>
      <c r="G33" s="95" t="s">
        <v>102</v>
      </c>
      <c r="H33" s="147"/>
      <c r="I33" s="95" t="s">
        <v>103</v>
      </c>
      <c r="J33" s="147"/>
      <c r="K33" s="95" t="s">
        <v>104</v>
      </c>
      <c r="L33" s="147"/>
      <c r="M33" s="64" t="s">
        <v>105</v>
      </c>
      <c r="N33" s="64" t="s">
        <v>106</v>
      </c>
      <c r="O33" s="86"/>
      <c r="P33" s="139"/>
    </row>
    <row r="34" spans="1:16" ht="71.25" customHeight="1">
      <c r="A34" s="156" t="s">
        <v>130</v>
      </c>
      <c r="B34" s="157"/>
      <c r="C34" s="158" t="s">
        <v>131</v>
      </c>
      <c r="D34" s="157"/>
      <c r="E34" s="158" t="s">
        <v>109</v>
      </c>
      <c r="F34" s="157"/>
      <c r="G34" s="159" t="s">
        <v>110</v>
      </c>
      <c r="H34" s="157"/>
      <c r="I34" s="158" t="s">
        <v>132</v>
      </c>
      <c r="J34" s="157"/>
      <c r="K34" s="158" t="s">
        <v>133</v>
      </c>
      <c r="L34" s="157"/>
      <c r="M34" s="152"/>
      <c r="N34" s="153" t="s">
        <v>134</v>
      </c>
      <c r="O34" s="86"/>
      <c r="P34" s="139"/>
    </row>
    <row r="35" spans="1:16">
      <c r="A35" s="87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139"/>
    </row>
    <row r="36" spans="1:16" ht="33.75" customHeight="1">
      <c r="A36" s="100" t="s">
        <v>85</v>
      </c>
      <c r="B36" s="160"/>
      <c r="C36" s="161"/>
      <c r="D36" s="162" t="str">
        <f>$A$1</f>
        <v>Accesibilidad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  <c r="P36" s="139"/>
    </row>
    <row r="37" spans="1:16" ht="31.5" customHeight="1">
      <c r="A37" s="101" t="s">
        <v>86</v>
      </c>
      <c r="B37" s="140"/>
      <c r="C37" s="163"/>
      <c r="D37" s="141" t="str">
        <f>Accesibilidad!A3</f>
        <v>Se requiere que la aplicación utilice tamaños de texto fijos y legibles, asegurando lectura cómoda sin necesidad de ajustes manuales.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  <c r="P37" s="139"/>
    </row>
    <row r="38" spans="1:16" ht="32.25" customHeight="1">
      <c r="A38" s="99" t="s">
        <v>87</v>
      </c>
      <c r="B38" s="144"/>
      <c r="C38" s="145"/>
      <c r="D38" s="164" t="s">
        <v>135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  <c r="P38" s="139"/>
    </row>
    <row r="39" spans="1:16">
      <c r="A39" s="99" t="s">
        <v>89</v>
      </c>
      <c r="B39" s="144"/>
      <c r="C39" s="145"/>
      <c r="D39" s="164" t="s">
        <v>136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  <c r="P39" s="139"/>
    </row>
    <row r="40" spans="1:16" ht="28.5" customHeight="1">
      <c r="A40" s="99" t="s">
        <v>91</v>
      </c>
      <c r="B40" s="144"/>
      <c r="C40" s="145"/>
      <c r="D40" s="164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  <c r="P40" s="139"/>
    </row>
    <row r="41" spans="1:16">
      <c r="A41" s="98" t="s">
        <v>93</v>
      </c>
      <c r="B41" s="144"/>
      <c r="C41" s="145"/>
      <c r="D41" s="146" t="s">
        <v>137</v>
      </c>
      <c r="E41" s="142"/>
      <c r="F41" s="142"/>
      <c r="G41" s="142"/>
      <c r="H41" s="142"/>
      <c r="I41" s="142"/>
      <c r="J41" s="142"/>
      <c r="K41" s="142"/>
      <c r="L41" s="142"/>
      <c r="M41" s="142"/>
      <c r="N41" s="143"/>
      <c r="O41" s="86"/>
      <c r="P41" s="139"/>
    </row>
    <row r="42" spans="1:16">
      <c r="A42" s="98" t="s">
        <v>95</v>
      </c>
      <c r="B42" s="144"/>
      <c r="C42" s="145"/>
      <c r="D42" s="146" t="s">
        <v>138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  <c r="P42" s="139"/>
    </row>
    <row r="43" spans="1:16">
      <c r="A43" s="98" t="s">
        <v>97</v>
      </c>
      <c r="B43" s="144"/>
      <c r="C43" s="145"/>
      <c r="D43" s="146" t="s">
        <v>139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  <c r="P43" s="139"/>
    </row>
    <row r="44" spans="1:16">
      <c r="A44" s="96" t="s">
        <v>99</v>
      </c>
      <c r="B44" s="147"/>
      <c r="C44" s="97" t="s">
        <v>100</v>
      </c>
      <c r="D44" s="147"/>
      <c r="E44" s="95" t="s">
        <v>101</v>
      </c>
      <c r="F44" s="147"/>
      <c r="G44" s="95" t="s">
        <v>102</v>
      </c>
      <c r="H44" s="147"/>
      <c r="I44" s="95" t="s">
        <v>103</v>
      </c>
      <c r="J44" s="147"/>
      <c r="K44" s="95" t="s">
        <v>104</v>
      </c>
      <c r="L44" s="147"/>
      <c r="M44" s="64" t="s">
        <v>105</v>
      </c>
      <c r="N44" s="64" t="s">
        <v>106</v>
      </c>
      <c r="O44" s="86"/>
      <c r="P44" s="139"/>
    </row>
    <row r="45" spans="1:16" ht="63" customHeight="1">
      <c r="A45" s="148" t="s">
        <v>140</v>
      </c>
      <c r="B45" s="149"/>
      <c r="C45" s="150" t="s">
        <v>141</v>
      </c>
      <c r="D45" s="149"/>
      <c r="E45" s="150" t="s">
        <v>109</v>
      </c>
      <c r="F45" s="149"/>
      <c r="G45" s="151" t="s">
        <v>110</v>
      </c>
      <c r="H45" s="149"/>
      <c r="I45" s="150" t="s">
        <v>142</v>
      </c>
      <c r="J45" s="149"/>
      <c r="K45" s="150" t="s">
        <v>143</v>
      </c>
      <c r="L45" s="149"/>
      <c r="M45" s="154"/>
      <c r="N45" s="153" t="s">
        <v>144</v>
      </c>
      <c r="O45" s="86"/>
      <c r="P45" s="139"/>
    </row>
    <row r="46" spans="1:1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139"/>
    </row>
    <row r="47" spans="1:16" ht="21" customHeight="1">
      <c r="A47" s="101" t="s">
        <v>85</v>
      </c>
      <c r="B47" s="140"/>
      <c r="C47" s="140"/>
      <c r="D47" s="141" t="str">
        <f>$A$1</f>
        <v>Accesibilidad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  <c r="P47" s="139"/>
    </row>
    <row r="48" spans="1:16" ht="26.25" customHeight="1">
      <c r="A48" s="101" t="s">
        <v>86</v>
      </c>
      <c r="B48" s="140"/>
      <c r="C48" s="140"/>
      <c r="D48" s="141" t="str">
        <f>Accesibilidad!A4</f>
        <v>Se requiere que los mensajes de error se presenten de forma clara y comprensible, ofreciendo orientación para corregir la acción.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  <c r="P48" s="139"/>
    </row>
    <row r="49" spans="1:16" ht="30" customHeight="1">
      <c r="A49" s="98" t="s">
        <v>87</v>
      </c>
      <c r="B49" s="144"/>
      <c r="C49" s="145"/>
      <c r="D49" s="141" t="s">
        <v>145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  <c r="P49" s="139"/>
    </row>
    <row r="50" spans="1:16">
      <c r="A50" s="98" t="s">
        <v>89</v>
      </c>
      <c r="B50" s="144"/>
      <c r="C50" s="145"/>
      <c r="D50" s="141" t="s">
        <v>146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  <c r="P50" s="139"/>
    </row>
    <row r="51" spans="1:16" ht="22.5" customHeight="1">
      <c r="A51" s="98" t="s">
        <v>91</v>
      </c>
      <c r="B51" s="144"/>
      <c r="C51" s="145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  <c r="P51" s="139"/>
    </row>
    <row r="52" spans="1:16">
      <c r="A52" s="98" t="s">
        <v>93</v>
      </c>
      <c r="B52" s="144"/>
      <c r="C52" s="145"/>
      <c r="D52" s="146" t="s">
        <v>147</v>
      </c>
      <c r="E52" s="142"/>
      <c r="F52" s="142"/>
      <c r="G52" s="142"/>
      <c r="H52" s="142"/>
      <c r="I52" s="142"/>
      <c r="J52" s="142"/>
      <c r="K52" s="142"/>
      <c r="L52" s="142"/>
      <c r="M52" s="142"/>
      <c r="N52" s="143"/>
      <c r="O52" s="86"/>
      <c r="P52" s="139"/>
    </row>
    <row r="53" spans="1:16">
      <c r="A53" s="98" t="s">
        <v>95</v>
      </c>
      <c r="B53" s="144"/>
      <c r="C53" s="145"/>
      <c r="D53" s="146" t="s">
        <v>148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  <c r="P53" s="139"/>
    </row>
    <row r="54" spans="1:16">
      <c r="A54" s="98" t="s">
        <v>97</v>
      </c>
      <c r="B54" s="144"/>
      <c r="C54" s="145"/>
      <c r="D54" s="146" t="s">
        <v>149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  <c r="P54" s="139"/>
    </row>
    <row r="55" spans="1:16">
      <c r="A55" s="96" t="s">
        <v>99</v>
      </c>
      <c r="B55" s="147"/>
      <c r="C55" s="97" t="s">
        <v>100</v>
      </c>
      <c r="D55" s="147"/>
      <c r="E55" s="95" t="s">
        <v>101</v>
      </c>
      <c r="F55" s="147"/>
      <c r="G55" s="95" t="s">
        <v>102</v>
      </c>
      <c r="H55" s="147"/>
      <c r="I55" s="95" t="s">
        <v>103</v>
      </c>
      <c r="J55" s="147"/>
      <c r="K55" s="95" t="s">
        <v>104</v>
      </c>
      <c r="L55" s="147"/>
      <c r="M55" s="64" t="s">
        <v>105</v>
      </c>
      <c r="N55" s="64" t="s">
        <v>106</v>
      </c>
      <c r="O55" s="86"/>
      <c r="P55" s="139"/>
    </row>
    <row r="56" spans="1:16" ht="80.25" customHeight="1">
      <c r="A56" s="156" t="s">
        <v>150</v>
      </c>
      <c r="B56" s="157"/>
      <c r="C56" s="158" t="s">
        <v>151</v>
      </c>
      <c r="D56" s="157"/>
      <c r="E56" s="158" t="s">
        <v>109</v>
      </c>
      <c r="F56" s="157"/>
      <c r="G56" s="159" t="s">
        <v>110</v>
      </c>
      <c r="H56" s="157"/>
      <c r="I56" s="158" t="s">
        <v>152</v>
      </c>
      <c r="J56" s="157"/>
      <c r="K56" s="158" t="s">
        <v>153</v>
      </c>
      <c r="L56" s="157"/>
      <c r="M56" s="152"/>
      <c r="N56" s="153" t="s">
        <v>154</v>
      </c>
      <c r="O56" s="86"/>
      <c r="P56" s="139"/>
    </row>
    <row r="57" spans="1:16">
      <c r="A57" s="87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139"/>
    </row>
    <row r="58" spans="1:16">
      <c r="A58" s="100" t="s">
        <v>85</v>
      </c>
      <c r="B58" s="160"/>
      <c r="C58" s="161"/>
      <c r="D58" s="162" t="str">
        <f>$A$1</f>
        <v>Accesibilidad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  <c r="P58" s="139"/>
    </row>
    <row r="59" spans="1:16" ht="31.5" customHeight="1">
      <c r="A59" s="101" t="s">
        <v>86</v>
      </c>
      <c r="B59" s="140"/>
      <c r="C59" s="163"/>
      <c r="D59" s="141" t="str">
        <f>Accesibilidad!A4</f>
        <v>Se requiere que los mensajes de error se presenten de forma clara y comprensible, ofreciendo orientación para corregir la acción.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  <c r="P59" s="139"/>
    </row>
    <row r="60" spans="1:16" ht="31.5" customHeight="1">
      <c r="A60" s="99" t="s">
        <v>87</v>
      </c>
      <c r="B60" s="144"/>
      <c r="C60" s="145"/>
      <c r="D60" s="164" t="s">
        <v>155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  <c r="P60" s="139"/>
    </row>
    <row r="61" spans="1:16">
      <c r="A61" s="99" t="s">
        <v>89</v>
      </c>
      <c r="B61" s="144"/>
      <c r="C61" s="145"/>
      <c r="D61" s="164" t="s">
        <v>156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  <c r="P61" s="139"/>
    </row>
    <row r="62" spans="1:16" ht="25.5" customHeight="1">
      <c r="A62" s="99" t="s">
        <v>91</v>
      </c>
      <c r="B62" s="144"/>
      <c r="C62" s="145"/>
      <c r="D62" s="164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  <c r="P62" s="139"/>
    </row>
    <row r="63" spans="1:16">
      <c r="A63" s="98" t="s">
        <v>93</v>
      </c>
      <c r="B63" s="144"/>
      <c r="C63" s="145"/>
      <c r="D63" s="146" t="s">
        <v>157</v>
      </c>
      <c r="E63" s="142"/>
      <c r="F63" s="142"/>
      <c r="G63" s="142"/>
      <c r="H63" s="142"/>
      <c r="I63" s="142"/>
      <c r="J63" s="142"/>
      <c r="K63" s="142"/>
      <c r="L63" s="142"/>
      <c r="M63" s="142"/>
      <c r="N63" s="143"/>
      <c r="O63" s="86"/>
      <c r="P63" s="139"/>
    </row>
    <row r="64" spans="1:16">
      <c r="A64" s="98" t="s">
        <v>95</v>
      </c>
      <c r="B64" s="144"/>
      <c r="C64" s="145"/>
      <c r="D64" s="146" t="s">
        <v>158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  <c r="P64" s="139"/>
    </row>
    <row r="65" spans="1:16">
      <c r="A65" s="98" t="s">
        <v>97</v>
      </c>
      <c r="B65" s="144"/>
      <c r="C65" s="145"/>
      <c r="D65" s="146" t="s">
        <v>159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  <c r="P65" s="139"/>
    </row>
    <row r="66" spans="1:16">
      <c r="A66" s="96" t="s">
        <v>99</v>
      </c>
      <c r="B66" s="147"/>
      <c r="C66" s="97" t="s">
        <v>100</v>
      </c>
      <c r="D66" s="147"/>
      <c r="E66" s="95" t="s">
        <v>101</v>
      </c>
      <c r="F66" s="147"/>
      <c r="G66" s="95" t="s">
        <v>102</v>
      </c>
      <c r="H66" s="147"/>
      <c r="I66" s="95" t="s">
        <v>103</v>
      </c>
      <c r="J66" s="147"/>
      <c r="K66" s="95" t="s">
        <v>104</v>
      </c>
      <c r="L66" s="147"/>
      <c r="M66" s="64" t="s">
        <v>105</v>
      </c>
      <c r="N66" s="64" t="s">
        <v>106</v>
      </c>
      <c r="O66" s="86"/>
      <c r="P66" s="139"/>
    </row>
    <row r="67" spans="1:16" ht="60.75" customHeight="1">
      <c r="A67" s="148" t="s">
        <v>140</v>
      </c>
      <c r="B67" s="149"/>
      <c r="C67" s="150" t="s">
        <v>160</v>
      </c>
      <c r="D67" s="149"/>
      <c r="E67" s="150" t="s">
        <v>109</v>
      </c>
      <c r="F67" s="149"/>
      <c r="G67" s="151" t="s">
        <v>110</v>
      </c>
      <c r="H67" s="149"/>
      <c r="I67" s="150" t="s">
        <v>161</v>
      </c>
      <c r="J67" s="149"/>
      <c r="K67" s="150" t="s">
        <v>162</v>
      </c>
      <c r="L67" s="149"/>
      <c r="M67" s="154"/>
      <c r="N67" s="153" t="s">
        <v>163</v>
      </c>
      <c r="O67" s="86"/>
      <c r="P67" s="139"/>
    </row>
    <row r="68" spans="1:16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139"/>
    </row>
    <row r="69" spans="1:16" ht="1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139"/>
    </row>
    <row r="70" spans="1:16" ht="3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139"/>
    </row>
    <row r="71" spans="1:16" ht="36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139"/>
    </row>
    <row r="72" spans="1:16" ht="1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139"/>
    </row>
    <row r="73" spans="1:16" ht="95.2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139"/>
    </row>
    <row r="74" spans="1:16">
      <c r="A74" s="87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139"/>
    </row>
    <row r="75" spans="1:16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139"/>
    </row>
    <row r="76" spans="1:1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139"/>
    </row>
    <row r="77" spans="1:16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139"/>
    </row>
    <row r="78" spans="1:16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139"/>
    </row>
    <row r="79" spans="1:16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139"/>
    </row>
    <row r="80" spans="1:16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139"/>
    </row>
    <row r="81" spans="1:16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139"/>
    </row>
    <row r="82" spans="1:16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139"/>
    </row>
    <row r="83" spans="1:16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139"/>
    </row>
    <row r="84" spans="1:16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139"/>
    </row>
    <row r="85" spans="1:16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139"/>
    </row>
    <row r="86" spans="1:1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139"/>
    </row>
    <row r="87" spans="1:16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139"/>
    </row>
    <row r="88" spans="1:16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139"/>
    </row>
    <row r="89" spans="1:16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139"/>
    </row>
    <row r="90" spans="1:16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139"/>
    </row>
    <row r="91" spans="1:16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139"/>
    </row>
    <row r="92" spans="1:16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139"/>
    </row>
    <row r="93" spans="1:16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139"/>
    </row>
    <row r="94" spans="1:16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139"/>
    </row>
    <row r="95" spans="1:16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139"/>
    </row>
    <row r="96" spans="1:1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139"/>
    </row>
    <row r="97" spans="1:16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139"/>
    </row>
    <row r="98" spans="1:16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139"/>
    </row>
    <row r="99" spans="1:16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139"/>
    </row>
    <row r="100" spans="1:16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139"/>
    </row>
    <row r="101" spans="1:16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139"/>
    </row>
    <row r="102" spans="1:16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139"/>
    </row>
    <row r="103" spans="1:16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139"/>
    </row>
    <row r="104" spans="1:16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139"/>
    </row>
    <row r="105" spans="1:16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139"/>
    </row>
    <row r="106" spans="1:1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139"/>
    </row>
    <row r="107" spans="1:16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139"/>
    </row>
    <row r="108" spans="1:16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139"/>
    </row>
    <row r="109" spans="1:16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139"/>
    </row>
    <row r="110" spans="1:16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139"/>
    </row>
    <row r="111" spans="1:16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139"/>
    </row>
    <row r="112" spans="1:16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139"/>
    </row>
    <row r="113" spans="1:16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139"/>
    </row>
    <row r="114" spans="1:16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139"/>
    </row>
    <row r="115" spans="1:16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139"/>
    </row>
    <row r="116" spans="1: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139"/>
    </row>
    <row r="117" spans="1:16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139"/>
    </row>
    <row r="118" spans="1:16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139"/>
    </row>
    <row r="119" spans="1:16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139"/>
    </row>
    <row r="120" spans="1:16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139"/>
    </row>
    <row r="121" spans="1:16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139"/>
    </row>
    <row r="122" spans="1:16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139"/>
    </row>
    <row r="123" spans="1:16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139"/>
    </row>
    <row r="124" spans="1:16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139"/>
    </row>
    <row r="125" spans="1:16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139"/>
    </row>
    <row r="126" spans="1:1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139"/>
    </row>
    <row r="127" spans="1:16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139"/>
    </row>
    <row r="128" spans="1:16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139"/>
    </row>
    <row r="129" spans="1:16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139"/>
    </row>
    <row r="130" spans="1:16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139"/>
    </row>
    <row r="131" spans="1:16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139"/>
    </row>
    <row r="132" spans="1:16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139"/>
    </row>
    <row r="133" spans="1:16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139"/>
    </row>
    <row r="134" spans="1:16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139"/>
    </row>
    <row r="135" spans="1:16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139"/>
    </row>
    <row r="136" spans="1:1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139"/>
    </row>
    <row r="137" spans="1:16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139"/>
    </row>
    <row r="138" spans="1:16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139"/>
    </row>
    <row r="139" spans="1:16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139"/>
    </row>
    <row r="140" spans="1:16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139"/>
    </row>
    <row r="141" spans="1:16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139"/>
    </row>
    <row r="142" spans="1:16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139"/>
    </row>
    <row r="143" spans="1:16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139"/>
    </row>
    <row r="144" spans="1:16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139"/>
    </row>
    <row r="145" spans="1:16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139"/>
    </row>
    <row r="146" spans="1:1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139"/>
    </row>
    <row r="147" spans="1:16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139"/>
    </row>
    <row r="148" spans="1:16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139"/>
    </row>
    <row r="149" spans="1:16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139"/>
    </row>
    <row r="150" spans="1:16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139"/>
    </row>
    <row r="151" spans="1:16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139"/>
    </row>
    <row r="152" spans="1:16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139"/>
    </row>
    <row r="153" spans="1:16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139"/>
    </row>
    <row r="154" spans="1:16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139"/>
    </row>
    <row r="155" spans="1:16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139"/>
    </row>
    <row r="156" spans="1:1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139"/>
    </row>
    <row r="157" spans="1:16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139"/>
    </row>
    <row r="158" spans="1:16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139"/>
    </row>
    <row r="159" spans="1:16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139"/>
    </row>
    <row r="160" spans="1:16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139"/>
    </row>
    <row r="161" spans="1:16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139"/>
    </row>
    <row r="162" spans="1:16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139"/>
    </row>
    <row r="163" spans="1:16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139"/>
    </row>
    <row r="164" spans="1:16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139"/>
    </row>
    <row r="165" spans="1:16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139"/>
    </row>
    <row r="166" spans="1:1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139"/>
    </row>
    <row r="167" spans="1:16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139"/>
    </row>
    <row r="168" spans="1:16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139"/>
    </row>
    <row r="169" spans="1:16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139"/>
    </row>
    <row r="170" spans="1:16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139"/>
    </row>
    <row r="171" spans="1:16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139"/>
    </row>
    <row r="172" spans="1:16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139"/>
    </row>
    <row r="173" spans="1:16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</sheetData>
  <mergeCells count="168">
    <mergeCell ref="A21:C21"/>
    <mergeCell ref="D6:N6"/>
    <mergeCell ref="D21:N21"/>
    <mergeCell ref="D7:N7"/>
    <mergeCell ref="K11:L11"/>
    <mergeCell ref="C22:D22"/>
    <mergeCell ref="A20:C20"/>
    <mergeCell ref="D17:N17"/>
    <mergeCell ref="I23:J23"/>
    <mergeCell ref="K23:L23"/>
    <mergeCell ref="C23:D23"/>
    <mergeCell ref="A23:B23"/>
    <mergeCell ref="A17:C17"/>
    <mergeCell ref="A3:C3"/>
    <mergeCell ref="A5:C5"/>
    <mergeCell ref="A14:C14"/>
    <mergeCell ref="A4:C4"/>
    <mergeCell ref="A15:C15"/>
    <mergeCell ref="A7:C7"/>
    <mergeCell ref="C12:D12"/>
    <mergeCell ref="A12:B12"/>
    <mergeCell ref="D3:N3"/>
    <mergeCell ref="D5:N5"/>
    <mergeCell ref="D14:N14"/>
    <mergeCell ref="A8:C8"/>
    <mergeCell ref="A9:C9"/>
    <mergeCell ref="D8:N8"/>
    <mergeCell ref="D4:N4"/>
    <mergeCell ref="A6:C6"/>
    <mergeCell ref="D9:N9"/>
    <mergeCell ref="D15:N15"/>
    <mergeCell ref="G11:H11"/>
    <mergeCell ref="I11:J11"/>
    <mergeCell ref="D10:N10"/>
    <mergeCell ref="A30:C30"/>
    <mergeCell ref="D30:N30"/>
    <mergeCell ref="I22:J22"/>
    <mergeCell ref="K22:L22"/>
    <mergeCell ref="A10:C10"/>
    <mergeCell ref="I12:J12"/>
    <mergeCell ref="A19:C19"/>
    <mergeCell ref="K12:L12"/>
    <mergeCell ref="D16:N16"/>
    <mergeCell ref="C11:D11"/>
    <mergeCell ref="E11:F11"/>
    <mergeCell ref="D18:N18"/>
    <mergeCell ref="A22:B22"/>
    <mergeCell ref="G22:H22"/>
    <mergeCell ref="E22:F22"/>
    <mergeCell ref="E12:F12"/>
    <mergeCell ref="G12:H12"/>
    <mergeCell ref="A11:B11"/>
    <mergeCell ref="D19:N19"/>
    <mergeCell ref="A16:C16"/>
    <mergeCell ref="A18:C18"/>
    <mergeCell ref="D20:N20"/>
    <mergeCell ref="E23:F23"/>
    <mergeCell ref="G23:H23"/>
    <mergeCell ref="A25:C25"/>
    <mergeCell ref="D25:N25"/>
    <mergeCell ref="A26:C26"/>
    <mergeCell ref="D26:N26"/>
    <mergeCell ref="A27:C27"/>
    <mergeCell ref="D27:N27"/>
    <mergeCell ref="A28:C28"/>
    <mergeCell ref="D28:N28"/>
    <mergeCell ref="A29:C29"/>
    <mergeCell ref="D29:N29"/>
    <mergeCell ref="A31:C31"/>
    <mergeCell ref="D31:N31"/>
    <mergeCell ref="A32:C32"/>
    <mergeCell ref="D32:N32"/>
    <mergeCell ref="A33:B33"/>
    <mergeCell ref="C33:D33"/>
    <mergeCell ref="E33:F33"/>
    <mergeCell ref="G33:H33"/>
    <mergeCell ref="I33:J33"/>
    <mergeCell ref="K33:L33"/>
    <mergeCell ref="K34:L34"/>
    <mergeCell ref="A36:C36"/>
    <mergeCell ref="D36:N36"/>
    <mergeCell ref="A37:C37"/>
    <mergeCell ref="D37:N37"/>
    <mergeCell ref="A34:B34"/>
    <mergeCell ref="C34:D34"/>
    <mergeCell ref="E34:F34"/>
    <mergeCell ref="G34:H34"/>
    <mergeCell ref="I34:J34"/>
    <mergeCell ref="A41:C41"/>
    <mergeCell ref="D41:N41"/>
    <mergeCell ref="A42:C42"/>
    <mergeCell ref="D42:N42"/>
    <mergeCell ref="A43:C43"/>
    <mergeCell ref="D43:N43"/>
    <mergeCell ref="A38:C38"/>
    <mergeCell ref="D38:N38"/>
    <mergeCell ref="A39:C39"/>
    <mergeCell ref="D39:N39"/>
    <mergeCell ref="A40:C40"/>
    <mergeCell ref="D40:N40"/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A50:C50"/>
    <mergeCell ref="D50:N50"/>
    <mergeCell ref="A51:C51"/>
    <mergeCell ref="D51:N51"/>
    <mergeCell ref="A52:C52"/>
    <mergeCell ref="D52:N52"/>
    <mergeCell ref="A47:C47"/>
    <mergeCell ref="D47:N47"/>
    <mergeCell ref="A48:C48"/>
    <mergeCell ref="D48:N48"/>
    <mergeCell ref="A49:C49"/>
    <mergeCell ref="D49:N49"/>
    <mergeCell ref="A53:C53"/>
    <mergeCell ref="D53:N53"/>
    <mergeCell ref="A54:C54"/>
    <mergeCell ref="D54:N54"/>
    <mergeCell ref="A55:B55"/>
    <mergeCell ref="C55:D55"/>
    <mergeCell ref="E55:F55"/>
    <mergeCell ref="G55:H55"/>
    <mergeCell ref="I55:J55"/>
    <mergeCell ref="K55:L55"/>
    <mergeCell ref="K56:L56"/>
    <mergeCell ref="A58:C58"/>
    <mergeCell ref="D58:N58"/>
    <mergeCell ref="A59:C59"/>
    <mergeCell ref="D59:N59"/>
    <mergeCell ref="A56:B56"/>
    <mergeCell ref="C56:D56"/>
    <mergeCell ref="E56:F56"/>
    <mergeCell ref="G56:H56"/>
    <mergeCell ref="I56:J56"/>
    <mergeCell ref="A63:C63"/>
    <mergeCell ref="D63:N63"/>
    <mergeCell ref="A64:C64"/>
    <mergeCell ref="D64:N64"/>
    <mergeCell ref="A65:C65"/>
    <mergeCell ref="D65:N65"/>
    <mergeCell ref="A60:C60"/>
    <mergeCell ref="D60:N60"/>
    <mergeCell ref="A61:C61"/>
    <mergeCell ref="D61:N61"/>
    <mergeCell ref="A62:C62"/>
    <mergeCell ref="D62:N62"/>
    <mergeCell ref="K66:L66"/>
    <mergeCell ref="A67:B67"/>
    <mergeCell ref="C67:D67"/>
    <mergeCell ref="E67:F67"/>
    <mergeCell ref="G67:H67"/>
    <mergeCell ref="I67:J67"/>
    <mergeCell ref="K67:L67"/>
    <mergeCell ref="A66:B66"/>
    <mergeCell ref="C66:D66"/>
    <mergeCell ref="E66:F66"/>
    <mergeCell ref="G66:H66"/>
    <mergeCell ref="I66:J66"/>
  </mergeCells>
  <hyperlinks>
    <hyperlink ref="A1" location="'Accesibilidad'!B1" display="Accesibilidad" xr:uid="{00000000-0004-0000-10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theme="9" tint="0.59999389629810485"/>
  </sheetPr>
  <dimension ref="A1:O145"/>
  <sheetViews>
    <sheetView topLeftCell="I123" workbookViewId="0">
      <selection activeCell="N101" sqref="N101"/>
    </sheetView>
  </sheetViews>
  <sheetFormatPr defaultColWidth="11.42578125" defaultRowHeight="15"/>
  <cols>
    <col min="1" max="1" width="12.28515625" style="59" customWidth="1"/>
    <col min="2" max="2" width="11.42578125" style="59" customWidth="1"/>
    <col min="3" max="3" width="23.5703125" style="59" customWidth="1"/>
    <col min="4" max="4" width="22.140625" style="59" customWidth="1"/>
    <col min="5" max="8" width="11.42578125" style="59" customWidth="1"/>
    <col min="9" max="9" width="16.7109375" style="59" customWidth="1"/>
    <col min="10" max="10" width="21.42578125" style="59" customWidth="1"/>
    <col min="11" max="11" width="11.42578125" style="59" customWidth="1"/>
    <col min="12" max="12" width="38.28515625" style="59" customWidth="1"/>
    <col min="13" max="13" width="11.42578125" style="59" customWidth="1"/>
    <col min="14" max="14" width="83.7109375" style="59" customWidth="1"/>
    <col min="15" max="15" width="11.42578125" style="59" customWidth="1"/>
    <col min="16" max="16384" width="11.42578125" style="59"/>
  </cols>
  <sheetData>
    <row r="1" spans="1:15">
      <c r="A1" s="58" t="s">
        <v>17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1" t="s">
        <v>85</v>
      </c>
      <c r="B3" s="140"/>
      <c r="C3" s="140"/>
      <c r="D3" s="141" t="str">
        <f>$A$1</f>
        <v>Capacidad de ser administrado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33" customHeight="1">
      <c r="A4" s="101" t="s">
        <v>86</v>
      </c>
      <c r="B4" s="140"/>
      <c r="C4" s="140"/>
      <c r="D4" s="146" t="str">
        <f>'Capacidad de ser administrado'!A3</f>
        <v>Se requiere que la aplicación permita al administrador activar o desactivar recursos operativos (aerolíneas, rutas, aeropuertos, aeronaves) sin necesidad de modificar el código fuente, reflejando los cambios inmediatamente para los pilotos.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 ht="15" customHeight="1">
      <c r="A5" s="98" t="s">
        <v>87</v>
      </c>
      <c r="B5" s="144"/>
      <c r="C5" s="145"/>
      <c r="D5" s="141" t="s">
        <v>164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98" t="s">
        <v>89</v>
      </c>
      <c r="B6" s="144"/>
      <c r="C6" s="145"/>
      <c r="D6" s="141" t="s">
        <v>165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 ht="19.5" customHeight="1">
      <c r="A7" s="98" t="s">
        <v>91</v>
      </c>
      <c r="B7" s="144"/>
      <c r="C7" s="145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 ht="18" customHeight="1">
      <c r="A8" s="98" t="s">
        <v>93</v>
      </c>
      <c r="B8" s="144"/>
      <c r="C8" s="145"/>
      <c r="D8" s="146" t="s">
        <v>166</v>
      </c>
      <c r="E8" s="142"/>
      <c r="F8" s="142"/>
      <c r="G8" s="142"/>
      <c r="H8" s="142"/>
      <c r="I8" s="142"/>
      <c r="J8" s="142"/>
      <c r="K8" s="142"/>
      <c r="L8" s="142"/>
      <c r="M8" s="142"/>
      <c r="N8" s="143"/>
      <c r="O8" s="86"/>
    </row>
    <row r="9" spans="1:15" ht="37.5" customHeight="1">
      <c r="A9" s="98" t="s">
        <v>95</v>
      </c>
      <c r="B9" s="144"/>
      <c r="C9" s="145"/>
      <c r="D9" s="146" t="s">
        <v>167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>
      <c r="A10" s="98" t="s">
        <v>97</v>
      </c>
      <c r="B10" s="144"/>
      <c r="C10" s="145"/>
      <c r="D10" s="146" t="s">
        <v>168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18" customHeight="1">
      <c r="A11" s="96" t="s">
        <v>99</v>
      </c>
      <c r="B11" s="147"/>
      <c r="C11" s="97" t="s">
        <v>100</v>
      </c>
      <c r="D11" s="147"/>
      <c r="E11" s="95" t="s">
        <v>101</v>
      </c>
      <c r="F11" s="147"/>
      <c r="G11" s="95" t="s">
        <v>102</v>
      </c>
      <c r="H11" s="147"/>
      <c r="I11" s="95" t="s">
        <v>103</v>
      </c>
      <c r="J11" s="147"/>
      <c r="K11" s="95" t="s">
        <v>104</v>
      </c>
      <c r="L11" s="147"/>
      <c r="M11" s="63" t="s">
        <v>105</v>
      </c>
      <c r="N11" s="61" t="s">
        <v>106</v>
      </c>
      <c r="O11" s="86"/>
    </row>
    <row r="12" spans="1:15" ht="81.75" customHeight="1">
      <c r="A12" s="148" t="s">
        <v>169</v>
      </c>
      <c r="B12" s="149"/>
      <c r="C12" s="150" t="s">
        <v>170</v>
      </c>
      <c r="D12" s="149"/>
      <c r="E12" s="151" t="s">
        <v>109</v>
      </c>
      <c r="F12" s="149"/>
      <c r="G12" s="150" t="s">
        <v>171</v>
      </c>
      <c r="H12" s="149"/>
      <c r="I12" s="150" t="s">
        <v>172</v>
      </c>
      <c r="J12" s="149"/>
      <c r="K12" s="150" t="s">
        <v>173</v>
      </c>
      <c r="L12" s="149"/>
      <c r="M12" s="152"/>
      <c r="N12" s="165" t="s">
        <v>174</v>
      </c>
      <c r="O12" s="86"/>
    </row>
    <row r="13" spans="1:15" ht="18" customHeight="1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1" t="s">
        <v>85</v>
      </c>
      <c r="B14" s="140"/>
      <c r="C14" s="140"/>
      <c r="D14" s="141" t="str">
        <f>$A$1</f>
        <v>Capacidad de ser administrado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29.25" customHeight="1">
      <c r="A15" s="101" t="s">
        <v>86</v>
      </c>
      <c r="B15" s="140"/>
      <c r="C15" s="140"/>
      <c r="D15" s="146" t="str">
        <f>'Capacidad de ser administrado'!A3</f>
        <v>Se requiere que la aplicación permita al administrador activar o desactivar recursos operativos (aerolíneas, rutas, aeropuertos, aeronaves) sin necesidad de modificar el código fuente, reflejando los cambios inmediatamente para los pilotos.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98" t="s">
        <v>87</v>
      </c>
      <c r="B16" s="144"/>
      <c r="C16" s="145"/>
      <c r="D16" s="141" t="s">
        <v>175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98" t="s">
        <v>89</v>
      </c>
      <c r="B17" s="144"/>
      <c r="C17" s="145"/>
      <c r="D17" s="141" t="s">
        <v>176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98" t="s">
        <v>91</v>
      </c>
      <c r="B18" s="144"/>
      <c r="C18" s="145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36" customHeight="1">
      <c r="A19" s="98" t="s">
        <v>93</v>
      </c>
      <c r="B19" s="144"/>
      <c r="C19" s="145"/>
      <c r="D19" s="146" t="s">
        <v>177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3"/>
      <c r="O19" s="86"/>
    </row>
    <row r="20" spans="1:15" ht="34.5" customHeight="1">
      <c r="A20" s="98" t="s">
        <v>95</v>
      </c>
      <c r="B20" s="144"/>
      <c r="C20" s="145"/>
      <c r="D20" s="146" t="s">
        <v>178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24" customHeight="1">
      <c r="A21" s="98" t="s">
        <v>97</v>
      </c>
      <c r="B21" s="144"/>
      <c r="C21" s="145"/>
      <c r="D21" s="146" t="s">
        <v>179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>
      <c r="A22" s="96" t="s">
        <v>99</v>
      </c>
      <c r="B22" s="147"/>
      <c r="C22" s="97" t="s">
        <v>100</v>
      </c>
      <c r="D22" s="147"/>
      <c r="E22" s="95" t="s">
        <v>101</v>
      </c>
      <c r="F22" s="147"/>
      <c r="G22" s="95" t="s">
        <v>102</v>
      </c>
      <c r="H22" s="147"/>
      <c r="I22" s="95" t="s">
        <v>103</v>
      </c>
      <c r="J22" s="147"/>
      <c r="K22" s="95" t="s">
        <v>104</v>
      </c>
      <c r="L22" s="147"/>
      <c r="M22" s="63" t="s">
        <v>105</v>
      </c>
      <c r="N22" s="61" t="s">
        <v>106</v>
      </c>
      <c r="O22" s="86"/>
    </row>
    <row r="23" spans="1:15" ht="119.25" customHeight="1">
      <c r="A23" s="148" t="s">
        <v>180</v>
      </c>
      <c r="B23" s="149"/>
      <c r="C23" s="150" t="s">
        <v>181</v>
      </c>
      <c r="D23" s="149"/>
      <c r="E23" s="151" t="s">
        <v>109</v>
      </c>
      <c r="F23" s="149"/>
      <c r="G23" s="150" t="s">
        <v>182</v>
      </c>
      <c r="H23" s="149"/>
      <c r="I23" s="150" t="s">
        <v>183</v>
      </c>
      <c r="J23" s="149"/>
      <c r="K23" s="150" t="s">
        <v>184</v>
      </c>
      <c r="L23" s="149"/>
      <c r="M23" s="152"/>
      <c r="N23" s="165" t="s">
        <v>185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1" t="s">
        <v>85</v>
      </c>
      <c r="B25" s="140"/>
      <c r="C25" s="140"/>
      <c r="D25" s="141" t="str">
        <f>$A$1</f>
        <v>Capacidad de ser administrado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>
      <c r="A26" s="101" t="s">
        <v>86</v>
      </c>
      <c r="B26" s="140"/>
      <c r="C26" s="140"/>
      <c r="D26" s="146" t="str">
        <f>'Capacidad de ser administrado'!A3</f>
        <v>Se requiere que la aplicación permita al administrador activar o desactivar recursos operativos (aerolíneas, rutas, aeropuertos, aeronaves) sin necesidad de modificar el código fuente, reflejando los cambios inmediatamente para los pilotos.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98" t="s">
        <v>87</v>
      </c>
      <c r="B27" s="144"/>
      <c r="C27" s="145"/>
      <c r="D27" s="141" t="s">
        <v>186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98" t="s">
        <v>89</v>
      </c>
      <c r="B28" s="144"/>
      <c r="C28" s="145"/>
      <c r="D28" s="141" t="s">
        <v>187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98" t="s">
        <v>91</v>
      </c>
      <c r="B29" s="144"/>
      <c r="C29" s="145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>
      <c r="A30" s="98" t="s">
        <v>93</v>
      </c>
      <c r="B30" s="144"/>
      <c r="C30" s="145"/>
      <c r="D30" s="146" t="s">
        <v>188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3"/>
      <c r="O30" s="86"/>
    </row>
    <row r="31" spans="1:15" ht="32.25" customHeight="1">
      <c r="A31" s="98" t="s">
        <v>95</v>
      </c>
      <c r="B31" s="144"/>
      <c r="C31" s="145"/>
      <c r="D31" s="146" t="s">
        <v>189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>
      <c r="A32" s="98" t="s">
        <v>97</v>
      </c>
      <c r="B32" s="144"/>
      <c r="C32" s="145"/>
      <c r="D32" s="146" t="s">
        <v>190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>
      <c r="A33" s="96" t="s">
        <v>99</v>
      </c>
      <c r="B33" s="147"/>
      <c r="C33" s="97" t="s">
        <v>100</v>
      </c>
      <c r="D33" s="147"/>
      <c r="E33" s="95" t="s">
        <v>101</v>
      </c>
      <c r="F33" s="147"/>
      <c r="G33" s="95" t="s">
        <v>102</v>
      </c>
      <c r="H33" s="147"/>
      <c r="I33" s="95" t="s">
        <v>103</v>
      </c>
      <c r="J33" s="147"/>
      <c r="K33" s="95" t="s">
        <v>104</v>
      </c>
      <c r="L33" s="147"/>
      <c r="M33" s="63" t="s">
        <v>105</v>
      </c>
      <c r="N33" s="61" t="s">
        <v>106</v>
      </c>
      <c r="O33" s="86"/>
    </row>
    <row r="34" spans="1:15" ht="125.25" customHeight="1">
      <c r="A34" s="148" t="s">
        <v>191</v>
      </c>
      <c r="B34" s="149"/>
      <c r="C34" s="150" t="s">
        <v>192</v>
      </c>
      <c r="D34" s="149"/>
      <c r="E34" s="151" t="s">
        <v>109</v>
      </c>
      <c r="F34" s="149"/>
      <c r="G34" s="150" t="s">
        <v>193</v>
      </c>
      <c r="H34" s="149"/>
      <c r="I34" s="150" t="s">
        <v>194</v>
      </c>
      <c r="J34" s="149"/>
      <c r="K34" s="150" t="s">
        <v>195</v>
      </c>
      <c r="L34" s="149"/>
      <c r="M34" s="152"/>
      <c r="N34" s="165" t="s">
        <v>196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1" t="s">
        <v>85</v>
      </c>
      <c r="B36" s="140"/>
      <c r="C36" s="140"/>
      <c r="D36" s="141" t="str">
        <f>$A$1</f>
        <v>Capacidad de ser administrado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>
      <c r="A37" s="101" t="s">
        <v>86</v>
      </c>
      <c r="B37" s="140"/>
      <c r="C37" s="140"/>
      <c r="D37" s="146" t="str">
        <f>'Capacidad de ser administrado'!A3</f>
        <v>Se requiere que la aplicación permita al administrador activar o desactivar recursos operativos (aerolíneas, rutas, aeropuertos, aeronaves) sin necesidad de modificar el código fuente, reflejando los cambios inmediatamente para los pilotos.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98" t="s">
        <v>87</v>
      </c>
      <c r="B38" s="144"/>
      <c r="C38" s="145"/>
      <c r="D38" s="141" t="s">
        <v>197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98" t="s">
        <v>89</v>
      </c>
      <c r="B39" s="144"/>
      <c r="C39" s="145"/>
      <c r="D39" s="141" t="s">
        <v>187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98" t="s">
        <v>91</v>
      </c>
      <c r="B40" s="144"/>
      <c r="C40" s="145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>
      <c r="A41" s="98" t="s">
        <v>93</v>
      </c>
      <c r="B41" s="144"/>
      <c r="C41" s="145"/>
      <c r="D41" s="146" t="s">
        <v>188</v>
      </c>
      <c r="E41" s="142"/>
      <c r="F41" s="142"/>
      <c r="G41" s="142"/>
      <c r="H41" s="142"/>
      <c r="I41" s="142"/>
      <c r="J41" s="142"/>
      <c r="K41" s="142"/>
      <c r="L41" s="142"/>
      <c r="M41" s="142"/>
      <c r="N41" s="143"/>
      <c r="O41" s="86"/>
    </row>
    <row r="42" spans="1:15" ht="36" customHeight="1">
      <c r="A42" s="98" t="s">
        <v>95</v>
      </c>
      <c r="B42" s="144"/>
      <c r="C42" s="145"/>
      <c r="D42" s="146" t="s">
        <v>189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>
      <c r="A43" s="98" t="s">
        <v>97</v>
      </c>
      <c r="B43" s="144"/>
      <c r="C43" s="145"/>
      <c r="D43" s="146" t="s">
        <v>190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>
      <c r="A44" s="96" t="s">
        <v>99</v>
      </c>
      <c r="B44" s="147"/>
      <c r="C44" s="97" t="s">
        <v>100</v>
      </c>
      <c r="D44" s="147"/>
      <c r="E44" s="95" t="s">
        <v>101</v>
      </c>
      <c r="F44" s="147"/>
      <c r="G44" s="95" t="s">
        <v>102</v>
      </c>
      <c r="H44" s="147"/>
      <c r="I44" s="95" t="s">
        <v>103</v>
      </c>
      <c r="J44" s="147"/>
      <c r="K44" s="95" t="s">
        <v>104</v>
      </c>
      <c r="L44" s="147"/>
      <c r="M44" s="63" t="s">
        <v>105</v>
      </c>
      <c r="N44" s="61" t="s">
        <v>106</v>
      </c>
      <c r="O44" s="86"/>
    </row>
    <row r="45" spans="1:15" ht="123" customHeight="1">
      <c r="A45" s="148" t="s">
        <v>7</v>
      </c>
      <c r="B45" s="149"/>
      <c r="C45" s="150" t="s">
        <v>192</v>
      </c>
      <c r="D45" s="149"/>
      <c r="E45" s="151" t="s">
        <v>109</v>
      </c>
      <c r="F45" s="149"/>
      <c r="G45" s="150" t="s">
        <v>198</v>
      </c>
      <c r="H45" s="149"/>
      <c r="I45" s="150" t="s">
        <v>194</v>
      </c>
      <c r="J45" s="149"/>
      <c r="K45" s="150" t="s">
        <v>195</v>
      </c>
      <c r="L45" s="149"/>
      <c r="M45" s="152"/>
      <c r="N45" s="165" t="s">
        <v>196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</row>
    <row r="48" spans="1:15" ht="28.5" customHeight="1">
      <c r="A48" s="101" t="s">
        <v>85</v>
      </c>
      <c r="B48" s="140"/>
      <c r="C48" s="140"/>
      <c r="D48" s="141" t="str">
        <f>$A$1</f>
        <v>Capacidad de ser administrado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1" t="s">
        <v>86</v>
      </c>
      <c r="B49" s="140"/>
      <c r="C49" s="140"/>
      <c r="D49" s="146" t="str">
        <f>'Capacidad de ser administrado'!A4</f>
        <v>Se requiere que la aplicación soporte la gestión del catálogo de recursos operativos (aerolíneas, rutas aéreas) con operaciones de activación/desactivación desde la interfaz administrativa.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98" t="s">
        <v>87</v>
      </c>
      <c r="B50" s="144"/>
      <c r="C50" s="145"/>
      <c r="D50" s="141" t="s">
        <v>199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98" t="s">
        <v>89</v>
      </c>
      <c r="B51" s="144"/>
      <c r="C51" s="145"/>
      <c r="D51" s="141" t="s">
        <v>200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>
      <c r="A52" s="98" t="s">
        <v>91</v>
      </c>
      <c r="B52" s="144"/>
      <c r="C52" s="145"/>
      <c r="D52" s="141" t="s">
        <v>92</v>
      </c>
      <c r="E52" s="142"/>
      <c r="F52" s="142"/>
      <c r="G52" s="142"/>
      <c r="H52" s="142"/>
      <c r="I52" s="142"/>
      <c r="J52" s="142"/>
      <c r="K52" s="142"/>
      <c r="L52" s="142"/>
      <c r="M52" s="142"/>
      <c r="N52" s="143"/>
      <c r="O52" s="86"/>
    </row>
    <row r="53" spans="1:15" ht="35.25" customHeight="1">
      <c r="A53" s="98" t="s">
        <v>93</v>
      </c>
      <c r="B53" s="144"/>
      <c r="C53" s="145"/>
      <c r="D53" s="146" t="s">
        <v>201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>
      <c r="A54" s="98" t="s">
        <v>95</v>
      </c>
      <c r="B54" s="144"/>
      <c r="C54" s="145"/>
      <c r="D54" s="146" t="s">
        <v>202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>
      <c r="A55" s="98" t="s">
        <v>97</v>
      </c>
      <c r="B55" s="144"/>
      <c r="C55" s="145"/>
      <c r="D55" s="146" t="s">
        <v>203</v>
      </c>
      <c r="E55" s="142"/>
      <c r="F55" s="142"/>
      <c r="G55" s="142"/>
      <c r="H55" s="142"/>
      <c r="I55" s="142"/>
      <c r="J55" s="142"/>
      <c r="K55" s="142"/>
      <c r="L55" s="142"/>
      <c r="M55" s="142"/>
      <c r="N55" s="143"/>
      <c r="O55" s="86"/>
    </row>
    <row r="56" spans="1:15" ht="24.75" customHeight="1">
      <c r="A56" s="96" t="s">
        <v>99</v>
      </c>
      <c r="B56" s="147"/>
      <c r="C56" s="97" t="s">
        <v>100</v>
      </c>
      <c r="D56" s="147"/>
      <c r="E56" s="95" t="s">
        <v>101</v>
      </c>
      <c r="F56" s="147"/>
      <c r="G56" s="95" t="s">
        <v>102</v>
      </c>
      <c r="H56" s="147"/>
      <c r="I56" s="95" t="s">
        <v>103</v>
      </c>
      <c r="J56" s="147"/>
      <c r="K56" s="95" t="s">
        <v>104</v>
      </c>
      <c r="L56" s="147"/>
      <c r="M56" s="63" t="s">
        <v>105</v>
      </c>
      <c r="N56" s="61" t="s">
        <v>106</v>
      </c>
      <c r="O56" s="86"/>
    </row>
    <row r="57" spans="1:15" ht="65.25" customHeight="1">
      <c r="A57" s="148" t="s">
        <v>191</v>
      </c>
      <c r="B57" s="149"/>
      <c r="C57" s="150" t="s">
        <v>204</v>
      </c>
      <c r="D57" s="149"/>
      <c r="E57" s="151" t="s">
        <v>109</v>
      </c>
      <c r="F57" s="149"/>
      <c r="G57" s="150" t="s">
        <v>193</v>
      </c>
      <c r="H57" s="149"/>
      <c r="I57" s="150" t="s">
        <v>205</v>
      </c>
      <c r="J57" s="149"/>
      <c r="K57" s="150" t="s">
        <v>206</v>
      </c>
      <c r="L57" s="149"/>
      <c r="M57" s="152"/>
      <c r="N57" s="165" t="s">
        <v>207</v>
      </c>
      <c r="O57" s="86"/>
    </row>
    <row r="58" spans="1:1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</row>
    <row r="59" spans="1:15" ht="29.25" customHeight="1">
      <c r="A59" s="101" t="s">
        <v>85</v>
      </c>
      <c r="B59" s="140"/>
      <c r="C59" s="140"/>
      <c r="D59" s="141" t="str">
        <f>$A$1</f>
        <v>Capacidad de ser administrado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1" t="s">
        <v>86</v>
      </c>
      <c r="B60" s="140"/>
      <c r="C60" s="140"/>
      <c r="D60" s="146" t="str">
        <f>'Capacidad de ser administrado'!A4</f>
        <v>Se requiere que la aplicación soporte la gestión del catálogo de recursos operativos (aerolíneas, rutas aéreas) con operaciones de activación/desactivación desde la interfaz administrativa.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98" t="s">
        <v>87</v>
      </c>
      <c r="B61" s="144"/>
      <c r="C61" s="145"/>
      <c r="D61" s="141" t="s">
        <v>208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98" t="s">
        <v>89</v>
      </c>
      <c r="B62" s="144"/>
      <c r="C62" s="145"/>
      <c r="D62" s="141" t="s">
        <v>209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 ht="33" customHeight="1">
      <c r="A63" s="98" t="s">
        <v>91</v>
      </c>
      <c r="B63" s="144"/>
      <c r="C63" s="145"/>
      <c r="D63" s="141" t="s">
        <v>116</v>
      </c>
      <c r="E63" s="142"/>
      <c r="F63" s="142"/>
      <c r="G63" s="142"/>
      <c r="H63" s="142"/>
      <c r="I63" s="142"/>
      <c r="J63" s="142"/>
      <c r="K63" s="142"/>
      <c r="L63" s="142"/>
      <c r="M63" s="142"/>
      <c r="N63" s="143"/>
      <c r="O63" s="86"/>
    </row>
    <row r="64" spans="1:15" ht="21.75" customHeight="1">
      <c r="A64" s="98" t="s">
        <v>93</v>
      </c>
      <c r="B64" s="144"/>
      <c r="C64" s="145"/>
      <c r="D64" s="146" t="s">
        <v>210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 ht="28.5" customHeight="1">
      <c r="A65" s="98" t="s">
        <v>95</v>
      </c>
      <c r="B65" s="144"/>
      <c r="C65" s="145"/>
      <c r="D65" s="146" t="s">
        <v>211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>
      <c r="A66" s="98" t="s">
        <v>97</v>
      </c>
      <c r="B66" s="144"/>
      <c r="C66" s="145"/>
      <c r="D66" s="146" t="s">
        <v>212</v>
      </c>
      <c r="E66" s="142"/>
      <c r="F66" s="142"/>
      <c r="G66" s="142"/>
      <c r="H66" s="142"/>
      <c r="I66" s="142"/>
      <c r="J66" s="142"/>
      <c r="K66" s="142"/>
      <c r="L66" s="142"/>
      <c r="M66" s="142"/>
      <c r="N66" s="143"/>
      <c r="O66" s="86"/>
    </row>
    <row r="67" spans="1:15" ht="42" customHeight="1">
      <c r="A67" s="96" t="s">
        <v>99</v>
      </c>
      <c r="B67" s="147"/>
      <c r="C67" s="97" t="s">
        <v>100</v>
      </c>
      <c r="D67" s="147"/>
      <c r="E67" s="95" t="s">
        <v>101</v>
      </c>
      <c r="F67" s="147"/>
      <c r="G67" s="95" t="s">
        <v>102</v>
      </c>
      <c r="H67" s="147"/>
      <c r="I67" s="95" t="s">
        <v>103</v>
      </c>
      <c r="J67" s="147"/>
      <c r="K67" s="95" t="s">
        <v>104</v>
      </c>
      <c r="L67" s="147"/>
      <c r="M67" s="63" t="s">
        <v>105</v>
      </c>
      <c r="N67" s="61" t="s">
        <v>106</v>
      </c>
      <c r="O67" s="86"/>
    </row>
    <row r="68" spans="1:15" ht="57" customHeight="1">
      <c r="A68" s="148" t="s">
        <v>7</v>
      </c>
      <c r="B68" s="149"/>
      <c r="C68" s="150" t="s">
        <v>213</v>
      </c>
      <c r="D68" s="149"/>
      <c r="E68" s="151" t="s">
        <v>109</v>
      </c>
      <c r="F68" s="149"/>
      <c r="G68" s="150" t="s">
        <v>198</v>
      </c>
      <c r="H68" s="149"/>
      <c r="I68" s="150" t="s">
        <v>214</v>
      </c>
      <c r="J68" s="149"/>
      <c r="K68" s="150" t="s">
        <v>215</v>
      </c>
      <c r="L68" s="149"/>
      <c r="M68" s="152"/>
      <c r="N68" s="165" t="s">
        <v>216</v>
      </c>
      <c r="O68" s="86"/>
    </row>
    <row r="69" spans="1:1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</row>
    <row r="70" spans="1:15">
      <c r="A70" s="101" t="s">
        <v>85</v>
      </c>
      <c r="B70" s="140"/>
      <c r="C70" s="140"/>
      <c r="D70" s="141" t="str">
        <f>$A$1</f>
        <v>Capacidad de ser administrado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1" t="s">
        <v>86</v>
      </c>
      <c r="B71" s="140"/>
      <c r="C71" s="140"/>
      <c r="D71" s="146" t="str">
        <f>'Capacidad de ser administrado'!A5</f>
        <v>Se requiere que la aplicación permita la administración remota, ya que el panel de administración es accesible desde cualquier navegador web mediante la versión web de Flutter.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98" t="s">
        <v>87</v>
      </c>
      <c r="B72" s="144"/>
      <c r="C72" s="145"/>
      <c r="D72" s="141" t="s">
        <v>217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98" t="s">
        <v>89</v>
      </c>
      <c r="B73" s="144"/>
      <c r="C73" s="145"/>
      <c r="D73" s="141" t="s">
        <v>218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>
      <c r="A74" s="98" t="s">
        <v>91</v>
      </c>
      <c r="B74" s="144"/>
      <c r="C74" s="145"/>
      <c r="D74" s="141" t="s">
        <v>92</v>
      </c>
      <c r="E74" s="142"/>
      <c r="F74" s="142"/>
      <c r="G74" s="142"/>
      <c r="H74" s="142"/>
      <c r="I74" s="142"/>
      <c r="J74" s="142"/>
      <c r="K74" s="142"/>
      <c r="L74" s="142"/>
      <c r="M74" s="142"/>
      <c r="N74" s="143"/>
      <c r="O74" s="86"/>
    </row>
    <row r="75" spans="1:15" ht="42.75" customHeight="1">
      <c r="A75" s="98" t="s">
        <v>93</v>
      </c>
      <c r="B75" s="144"/>
      <c r="C75" s="145"/>
      <c r="D75" s="146" t="s">
        <v>219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33" customHeight="1">
      <c r="A76" s="98" t="s">
        <v>95</v>
      </c>
      <c r="B76" s="144"/>
      <c r="C76" s="145"/>
      <c r="D76" s="146" t="s">
        <v>220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>
      <c r="A77" s="98" t="s">
        <v>97</v>
      </c>
      <c r="B77" s="144"/>
      <c r="C77" s="145"/>
      <c r="D77" s="146" t="s">
        <v>221</v>
      </c>
      <c r="E77" s="142"/>
      <c r="F77" s="142"/>
      <c r="G77" s="142"/>
      <c r="H77" s="142"/>
      <c r="I77" s="142"/>
      <c r="J77" s="142"/>
      <c r="K77" s="142"/>
      <c r="L77" s="142"/>
      <c r="M77" s="142"/>
      <c r="N77" s="143"/>
      <c r="O77" s="86"/>
    </row>
    <row r="78" spans="1:15" ht="101.25" customHeight="1">
      <c r="A78" s="96" t="s">
        <v>99</v>
      </c>
      <c r="B78" s="147"/>
      <c r="C78" s="97" t="s">
        <v>100</v>
      </c>
      <c r="D78" s="147"/>
      <c r="E78" s="95" t="s">
        <v>101</v>
      </c>
      <c r="F78" s="147"/>
      <c r="G78" s="95" t="s">
        <v>102</v>
      </c>
      <c r="H78" s="147"/>
      <c r="I78" s="95" t="s">
        <v>103</v>
      </c>
      <c r="J78" s="147"/>
      <c r="K78" s="95" t="s">
        <v>104</v>
      </c>
      <c r="L78" s="147"/>
      <c r="M78" s="63" t="s">
        <v>105</v>
      </c>
      <c r="N78" s="61" t="s">
        <v>106</v>
      </c>
      <c r="O78" s="86"/>
    </row>
    <row r="79" spans="1:15" ht="48" customHeight="1">
      <c r="A79" s="148" t="s">
        <v>191</v>
      </c>
      <c r="B79" s="149"/>
      <c r="C79" s="150" t="s">
        <v>222</v>
      </c>
      <c r="D79" s="149"/>
      <c r="E79" s="151" t="s">
        <v>109</v>
      </c>
      <c r="F79" s="149"/>
      <c r="G79" s="150" t="s">
        <v>193</v>
      </c>
      <c r="H79" s="149"/>
      <c r="I79" s="150" t="s">
        <v>223</v>
      </c>
      <c r="J79" s="149"/>
      <c r="K79" s="150" t="s">
        <v>224</v>
      </c>
      <c r="L79" s="149"/>
      <c r="M79" s="152"/>
      <c r="N79" s="165" t="s">
        <v>225</v>
      </c>
      <c r="O79" s="86"/>
    </row>
    <row r="80" spans="1:1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</row>
    <row r="81" spans="1:15">
      <c r="A81" s="101" t="s">
        <v>85</v>
      </c>
      <c r="B81" s="140"/>
      <c r="C81" s="140"/>
      <c r="D81" s="141" t="str">
        <f>$A$1</f>
        <v>Capacidad de ser administrado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1" t="s">
        <v>86</v>
      </c>
      <c r="B82" s="140"/>
      <c r="C82" s="140"/>
      <c r="D82" s="146" t="str">
        <f>'Capacidad de ser administrado'!A5</f>
        <v>Se requiere que la aplicación permita la administración remota, ya que el panel de administración es accesible desde cualquier navegador web mediante la versión web de Flutter.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98" t="s">
        <v>87</v>
      </c>
      <c r="B83" s="144"/>
      <c r="C83" s="145"/>
      <c r="D83" s="141" t="s">
        <v>226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98" t="s">
        <v>89</v>
      </c>
      <c r="B84" s="144"/>
      <c r="C84" s="145"/>
      <c r="D84" s="141" t="s">
        <v>227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 ht="33.75" customHeight="1">
      <c r="A85" s="98" t="s">
        <v>91</v>
      </c>
      <c r="B85" s="144"/>
      <c r="C85" s="145"/>
      <c r="D85" s="141" t="s">
        <v>116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3"/>
      <c r="O85" s="86"/>
    </row>
    <row r="86" spans="1:15" ht="51.75" customHeight="1">
      <c r="A86" s="98" t="s">
        <v>93</v>
      </c>
      <c r="B86" s="144"/>
      <c r="C86" s="145"/>
      <c r="D86" s="146" t="s">
        <v>228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3"/>
      <c r="O86" s="86"/>
    </row>
    <row r="87" spans="1:15" ht="40.5" customHeight="1">
      <c r="A87" s="98" t="s">
        <v>95</v>
      </c>
      <c r="B87" s="144"/>
      <c r="C87" s="145"/>
      <c r="D87" s="146" t="s">
        <v>229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>
      <c r="A88" s="98" t="s">
        <v>97</v>
      </c>
      <c r="B88" s="144"/>
      <c r="C88" s="145"/>
      <c r="D88" s="146" t="s">
        <v>230</v>
      </c>
      <c r="E88" s="142"/>
      <c r="F88" s="142"/>
      <c r="G88" s="142"/>
      <c r="H88" s="142"/>
      <c r="I88" s="142"/>
      <c r="J88" s="142"/>
      <c r="K88" s="142"/>
      <c r="L88" s="142"/>
      <c r="M88" s="142"/>
      <c r="N88" s="143"/>
      <c r="O88" s="86"/>
    </row>
    <row r="89" spans="1:15" ht="24" customHeight="1">
      <c r="A89" s="96" t="s">
        <v>99</v>
      </c>
      <c r="B89" s="147"/>
      <c r="C89" s="97" t="s">
        <v>100</v>
      </c>
      <c r="D89" s="147"/>
      <c r="E89" s="95" t="s">
        <v>101</v>
      </c>
      <c r="F89" s="147"/>
      <c r="G89" s="95" t="s">
        <v>102</v>
      </c>
      <c r="H89" s="147"/>
      <c r="I89" s="95" t="s">
        <v>103</v>
      </c>
      <c r="J89" s="147"/>
      <c r="K89" s="95" t="s">
        <v>104</v>
      </c>
      <c r="L89" s="147"/>
      <c r="M89" s="63" t="s">
        <v>105</v>
      </c>
      <c r="N89" s="61" t="s">
        <v>106</v>
      </c>
      <c r="O89" s="86"/>
    </row>
    <row r="90" spans="1:15" ht="57.75" customHeight="1">
      <c r="A90" s="148" t="s">
        <v>7</v>
      </c>
      <c r="B90" s="149"/>
      <c r="C90" s="150" t="s">
        <v>231</v>
      </c>
      <c r="D90" s="149"/>
      <c r="E90" s="151" t="s">
        <v>109</v>
      </c>
      <c r="F90" s="149"/>
      <c r="G90" s="150" t="s">
        <v>198</v>
      </c>
      <c r="H90" s="149"/>
      <c r="I90" s="150" t="s">
        <v>232</v>
      </c>
      <c r="J90" s="149"/>
      <c r="K90" s="150" t="s">
        <v>233</v>
      </c>
      <c r="L90" s="149"/>
      <c r="M90" s="152"/>
      <c r="N90" s="165" t="s">
        <v>234</v>
      </c>
      <c r="O90" s="86"/>
    </row>
    <row r="91" spans="1:1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</row>
    <row r="92" spans="1:15">
      <c r="A92" s="101" t="s">
        <v>85</v>
      </c>
      <c r="B92" s="140"/>
      <c r="C92" s="140"/>
      <c r="D92" s="141" t="str">
        <f>$A$1</f>
        <v>Capacidad de ser administrado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01" t="s">
        <v>86</v>
      </c>
      <c r="B93" s="140"/>
      <c r="C93" s="140"/>
      <c r="D93" s="146" t="str">
        <f>'Capacidad de ser administrado'!A6</f>
        <v>Se requiere que la API del sistema cuente con documentación Swagger actualizada y accesible, facilitando la comprensión de los endpoints disponibles para la administración.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>
      <c r="A94" s="98" t="s">
        <v>87</v>
      </c>
      <c r="B94" s="144"/>
      <c r="C94" s="145"/>
      <c r="D94" s="141" t="s">
        <v>235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98" t="s">
        <v>89</v>
      </c>
      <c r="B95" s="144"/>
      <c r="C95" s="145"/>
      <c r="D95" s="141" t="s">
        <v>236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>
      <c r="A96" s="98" t="s">
        <v>91</v>
      </c>
      <c r="B96" s="144"/>
      <c r="C96" s="145"/>
      <c r="D96" s="141" t="s">
        <v>92</v>
      </c>
      <c r="E96" s="142"/>
      <c r="F96" s="142"/>
      <c r="G96" s="142"/>
      <c r="H96" s="142"/>
      <c r="I96" s="142"/>
      <c r="J96" s="142"/>
      <c r="K96" s="142"/>
      <c r="L96" s="142"/>
      <c r="M96" s="142"/>
      <c r="N96" s="143"/>
      <c r="O96" s="86"/>
    </row>
    <row r="97" spans="1:15" ht="30.75" customHeight="1">
      <c r="A97" s="98" t="s">
        <v>93</v>
      </c>
      <c r="B97" s="144"/>
      <c r="C97" s="145"/>
      <c r="D97" s="146" t="s">
        <v>237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3"/>
      <c r="O97" s="86"/>
    </row>
    <row r="98" spans="1:15">
      <c r="A98" s="98" t="s">
        <v>95</v>
      </c>
      <c r="B98" s="144"/>
      <c r="C98" s="145"/>
      <c r="D98" s="146" t="s">
        <v>238</v>
      </c>
      <c r="E98" s="142"/>
      <c r="F98" s="142"/>
      <c r="G98" s="142"/>
      <c r="H98" s="142"/>
      <c r="I98" s="142"/>
      <c r="J98" s="142"/>
      <c r="K98" s="142"/>
      <c r="L98" s="142"/>
      <c r="M98" s="142"/>
      <c r="N98" s="143"/>
      <c r="O98" s="86"/>
    </row>
    <row r="99" spans="1:15">
      <c r="A99" s="98" t="s">
        <v>97</v>
      </c>
      <c r="B99" s="144"/>
      <c r="C99" s="145"/>
      <c r="D99" s="146" t="s">
        <v>239</v>
      </c>
      <c r="E99" s="142"/>
      <c r="F99" s="142"/>
      <c r="G99" s="142"/>
      <c r="H99" s="142"/>
      <c r="I99" s="142"/>
      <c r="J99" s="142"/>
      <c r="K99" s="142"/>
      <c r="L99" s="142"/>
      <c r="M99" s="142"/>
      <c r="N99" s="143"/>
      <c r="O99" s="86"/>
    </row>
    <row r="100" spans="1:15" ht="32.25" customHeight="1">
      <c r="A100" s="96" t="s">
        <v>99</v>
      </c>
      <c r="B100" s="147"/>
      <c r="C100" s="97" t="s">
        <v>100</v>
      </c>
      <c r="D100" s="147"/>
      <c r="E100" s="95" t="s">
        <v>101</v>
      </c>
      <c r="F100" s="147"/>
      <c r="G100" s="95" t="s">
        <v>102</v>
      </c>
      <c r="H100" s="147"/>
      <c r="I100" s="95" t="s">
        <v>103</v>
      </c>
      <c r="J100" s="147"/>
      <c r="K100" s="95" t="s">
        <v>104</v>
      </c>
      <c r="L100" s="147"/>
      <c r="M100" s="63" t="s">
        <v>105</v>
      </c>
      <c r="N100" s="61" t="s">
        <v>106</v>
      </c>
      <c r="O100" s="86"/>
    </row>
    <row r="101" spans="1:15" ht="60" customHeight="1">
      <c r="A101" s="148" t="s">
        <v>191</v>
      </c>
      <c r="B101" s="149"/>
      <c r="C101" s="150" t="s">
        <v>240</v>
      </c>
      <c r="D101" s="149"/>
      <c r="E101" s="151" t="s">
        <v>109</v>
      </c>
      <c r="F101" s="149"/>
      <c r="G101" s="150" t="s">
        <v>193</v>
      </c>
      <c r="H101" s="149"/>
      <c r="I101" s="150" t="s">
        <v>241</v>
      </c>
      <c r="J101" s="149"/>
      <c r="K101" s="150" t="s">
        <v>242</v>
      </c>
      <c r="L101" s="149"/>
      <c r="M101" s="152"/>
      <c r="N101" s="165" t="s">
        <v>243</v>
      </c>
      <c r="O101" s="86"/>
    </row>
    <row r="102" spans="1:1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</row>
    <row r="103" spans="1:15" ht="30" customHeight="1">
      <c r="A103" s="101" t="s">
        <v>85</v>
      </c>
      <c r="B103" s="140"/>
      <c r="C103" s="140"/>
      <c r="D103" s="141" t="str">
        <f>$A$1</f>
        <v>Capacidad de ser administrado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86"/>
    </row>
    <row r="104" spans="1:15">
      <c r="A104" s="101" t="s">
        <v>86</v>
      </c>
      <c r="B104" s="140"/>
      <c r="C104" s="140"/>
      <c r="D104" s="146" t="str">
        <f>'Capacidad de ser administrado'!A6</f>
        <v>Se requiere que la API del sistema cuente con documentación Swagger actualizada y accesible, facilitando la comprensión de los endpoints disponibles para la administración.</v>
      </c>
      <c r="E104" s="142"/>
      <c r="F104" s="142"/>
      <c r="G104" s="142"/>
      <c r="H104" s="142"/>
      <c r="I104" s="142"/>
      <c r="J104" s="142"/>
      <c r="K104" s="142"/>
      <c r="L104" s="142"/>
      <c r="M104" s="142"/>
      <c r="N104" s="143"/>
      <c r="O104" s="86"/>
    </row>
    <row r="105" spans="1:15">
      <c r="A105" s="98" t="s">
        <v>87</v>
      </c>
      <c r="B105" s="144"/>
      <c r="C105" s="145"/>
      <c r="D105" s="141" t="s">
        <v>244</v>
      </c>
      <c r="E105" s="142"/>
      <c r="F105" s="142"/>
      <c r="G105" s="142"/>
      <c r="H105" s="142"/>
      <c r="I105" s="142"/>
      <c r="J105" s="142"/>
      <c r="K105" s="142"/>
      <c r="L105" s="142"/>
      <c r="M105" s="142"/>
      <c r="N105" s="143"/>
      <c r="O105" s="86"/>
    </row>
    <row r="106" spans="1:15">
      <c r="A106" s="98" t="s">
        <v>89</v>
      </c>
      <c r="B106" s="144"/>
      <c r="C106" s="145"/>
      <c r="D106" s="141" t="s">
        <v>245</v>
      </c>
      <c r="E106" s="142"/>
      <c r="F106" s="142"/>
      <c r="G106" s="142"/>
      <c r="H106" s="142"/>
      <c r="I106" s="142"/>
      <c r="J106" s="142"/>
      <c r="K106" s="142"/>
      <c r="L106" s="142"/>
      <c r="M106" s="142"/>
      <c r="N106" s="143"/>
      <c r="O106" s="86"/>
    </row>
    <row r="107" spans="1:15">
      <c r="A107" s="98" t="s">
        <v>91</v>
      </c>
      <c r="B107" s="144"/>
      <c r="C107" s="145"/>
      <c r="D107" s="141" t="s">
        <v>116</v>
      </c>
      <c r="E107" s="142"/>
      <c r="F107" s="142"/>
      <c r="G107" s="142"/>
      <c r="H107" s="142"/>
      <c r="I107" s="142"/>
      <c r="J107" s="142"/>
      <c r="K107" s="142"/>
      <c r="L107" s="142"/>
      <c r="M107" s="142"/>
      <c r="N107" s="143"/>
      <c r="O107" s="86"/>
    </row>
    <row r="108" spans="1:15" ht="31.5" customHeight="1">
      <c r="A108" s="98" t="s">
        <v>93</v>
      </c>
      <c r="B108" s="144"/>
      <c r="C108" s="145"/>
      <c r="D108" s="146" t="s">
        <v>246</v>
      </c>
      <c r="E108" s="142"/>
      <c r="F108" s="142"/>
      <c r="G108" s="142"/>
      <c r="H108" s="142"/>
      <c r="I108" s="142"/>
      <c r="J108" s="142"/>
      <c r="K108" s="142"/>
      <c r="L108" s="142"/>
      <c r="M108" s="142"/>
      <c r="N108" s="143"/>
      <c r="O108" s="86"/>
    </row>
    <row r="109" spans="1:15">
      <c r="A109" s="98" t="s">
        <v>95</v>
      </c>
      <c r="B109" s="144"/>
      <c r="C109" s="145"/>
      <c r="D109" s="146" t="s">
        <v>247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3"/>
      <c r="O109" s="86"/>
    </row>
    <row r="110" spans="1:15">
      <c r="A110" s="98" t="s">
        <v>97</v>
      </c>
      <c r="B110" s="144"/>
      <c r="C110" s="145"/>
      <c r="D110" s="146" t="s">
        <v>248</v>
      </c>
      <c r="E110" s="142"/>
      <c r="F110" s="142"/>
      <c r="G110" s="142"/>
      <c r="H110" s="142"/>
      <c r="I110" s="142"/>
      <c r="J110" s="142"/>
      <c r="K110" s="142"/>
      <c r="L110" s="142"/>
      <c r="M110" s="142"/>
      <c r="N110" s="143"/>
      <c r="O110" s="86"/>
    </row>
    <row r="111" spans="1:15" ht="27" customHeight="1">
      <c r="A111" s="96" t="s">
        <v>99</v>
      </c>
      <c r="B111" s="147"/>
      <c r="C111" s="97" t="s">
        <v>100</v>
      </c>
      <c r="D111" s="147"/>
      <c r="E111" s="95" t="s">
        <v>101</v>
      </c>
      <c r="F111" s="147"/>
      <c r="G111" s="95" t="s">
        <v>102</v>
      </c>
      <c r="H111" s="147"/>
      <c r="I111" s="95" t="s">
        <v>103</v>
      </c>
      <c r="J111" s="147"/>
      <c r="K111" s="95" t="s">
        <v>104</v>
      </c>
      <c r="L111" s="147"/>
      <c r="M111" s="63" t="s">
        <v>105</v>
      </c>
      <c r="N111" s="61" t="s">
        <v>106</v>
      </c>
      <c r="O111" s="86"/>
    </row>
    <row r="112" spans="1:15" ht="70.5" customHeight="1">
      <c r="A112" s="148" t="s">
        <v>7</v>
      </c>
      <c r="B112" s="149"/>
      <c r="C112" s="150" t="s">
        <v>249</v>
      </c>
      <c r="D112" s="149"/>
      <c r="E112" s="151" t="s">
        <v>109</v>
      </c>
      <c r="F112" s="149"/>
      <c r="G112" s="150" t="s">
        <v>198</v>
      </c>
      <c r="H112" s="149"/>
      <c r="I112" s="150" t="s">
        <v>250</v>
      </c>
      <c r="J112" s="149"/>
      <c r="K112" s="150" t="s">
        <v>251</v>
      </c>
      <c r="L112" s="149"/>
      <c r="M112" s="152"/>
      <c r="N112" s="165" t="s">
        <v>252</v>
      </c>
      <c r="O112" s="86"/>
    </row>
    <row r="113" spans="1:15" ht="21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</row>
    <row r="114" spans="1:1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</row>
    <row r="115" spans="1:15" ht="34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</row>
    <row r="116" spans="1:1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</row>
    <row r="117" spans="1:1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</row>
    <row r="118" spans="1:1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</row>
    <row r="119" spans="1:1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</row>
    <row r="120" spans="1:15" ht="32.2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</row>
    <row r="121" spans="1:15" ht="37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</row>
    <row r="122" spans="1:1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</row>
    <row r="123" spans="1:15" ht="91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</row>
    <row r="124" spans="1:1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</row>
    <row r="125" spans="1:1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</row>
    <row r="126" spans="1:15" ht="34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</row>
    <row r="127" spans="1:1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</row>
    <row r="128" spans="1:1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</row>
    <row r="129" spans="1:1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</row>
    <row r="130" spans="1:1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</row>
    <row r="131" spans="1:15" ht="32.2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</row>
    <row r="132" spans="1:1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</row>
    <row r="133" spans="1:1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</row>
    <row r="134" spans="1:15" ht="91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</row>
    <row r="135" spans="1:1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</row>
    <row r="136" spans="1:1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</row>
    <row r="137" spans="1:15" ht="31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</row>
    <row r="138" spans="1:1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</row>
    <row r="139" spans="1:1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</row>
    <row r="140" spans="1:1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</row>
    <row r="141" spans="1:1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</row>
    <row r="142" spans="1:15" ht="31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</row>
    <row r="143" spans="1:1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</row>
    <row r="144" spans="1:1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</row>
    <row r="145" spans="1:15" ht="73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</row>
  </sheetData>
  <mergeCells count="280">
    <mergeCell ref="K111:L111"/>
    <mergeCell ref="A112:B112"/>
    <mergeCell ref="C112:D112"/>
    <mergeCell ref="E112:F112"/>
    <mergeCell ref="G112:H112"/>
    <mergeCell ref="I112:J112"/>
    <mergeCell ref="K112:L112"/>
    <mergeCell ref="A111:B111"/>
    <mergeCell ref="C111:D111"/>
    <mergeCell ref="E111:F111"/>
    <mergeCell ref="G111:H111"/>
    <mergeCell ref="I111:J111"/>
    <mergeCell ref="A108:C108"/>
    <mergeCell ref="D108:N108"/>
    <mergeCell ref="A109:C109"/>
    <mergeCell ref="D109:N109"/>
    <mergeCell ref="A110:C110"/>
    <mergeCell ref="D110:N110"/>
    <mergeCell ref="A105:C105"/>
    <mergeCell ref="D105:N105"/>
    <mergeCell ref="A106:C106"/>
    <mergeCell ref="D106:N106"/>
    <mergeCell ref="A107:C107"/>
    <mergeCell ref="D107:N107"/>
    <mergeCell ref="K101:L101"/>
    <mergeCell ref="A103:C103"/>
    <mergeCell ref="D103:N103"/>
    <mergeCell ref="A104:C104"/>
    <mergeCell ref="D104:N104"/>
    <mergeCell ref="A101:B101"/>
    <mergeCell ref="C101:D101"/>
    <mergeCell ref="E101:F101"/>
    <mergeCell ref="G101:H101"/>
    <mergeCell ref="I101:J101"/>
    <mergeCell ref="A98:C98"/>
    <mergeCell ref="D98:N98"/>
    <mergeCell ref="A99:C99"/>
    <mergeCell ref="D99:N99"/>
    <mergeCell ref="A100:B100"/>
    <mergeCell ref="C100:D100"/>
    <mergeCell ref="E100:F100"/>
    <mergeCell ref="G100:H100"/>
    <mergeCell ref="I100:J100"/>
    <mergeCell ref="K100:L100"/>
    <mergeCell ref="A95:C95"/>
    <mergeCell ref="D95:N95"/>
    <mergeCell ref="A96:C96"/>
    <mergeCell ref="D96:N96"/>
    <mergeCell ref="A97:C97"/>
    <mergeCell ref="D97:N97"/>
    <mergeCell ref="A92:C92"/>
    <mergeCell ref="D92:N92"/>
    <mergeCell ref="A93:C93"/>
    <mergeCell ref="D93:N93"/>
    <mergeCell ref="A94:C94"/>
    <mergeCell ref="D94:N94"/>
    <mergeCell ref="K89:L89"/>
    <mergeCell ref="A90:B90"/>
    <mergeCell ref="C90:D90"/>
    <mergeCell ref="E90:F90"/>
    <mergeCell ref="G90:H90"/>
    <mergeCell ref="I90:J90"/>
    <mergeCell ref="K90:L90"/>
    <mergeCell ref="A89:B89"/>
    <mergeCell ref="C89:D89"/>
    <mergeCell ref="E89:F89"/>
    <mergeCell ref="G89:H89"/>
    <mergeCell ref="I89:J89"/>
    <mergeCell ref="A86:C86"/>
    <mergeCell ref="D86:N86"/>
    <mergeCell ref="A87:C87"/>
    <mergeCell ref="D87:N87"/>
    <mergeCell ref="A88:C88"/>
    <mergeCell ref="D88:N88"/>
    <mergeCell ref="A83:C83"/>
    <mergeCell ref="D83:N83"/>
    <mergeCell ref="A84:C84"/>
    <mergeCell ref="D84:N84"/>
    <mergeCell ref="A85:C85"/>
    <mergeCell ref="D85:N85"/>
    <mergeCell ref="K79:L79"/>
    <mergeCell ref="A81:C81"/>
    <mergeCell ref="D81:N81"/>
    <mergeCell ref="A82:C82"/>
    <mergeCell ref="D82:N82"/>
    <mergeCell ref="A79:B79"/>
    <mergeCell ref="C79:D79"/>
    <mergeCell ref="E79:F79"/>
    <mergeCell ref="G79:H79"/>
    <mergeCell ref="I79:J79"/>
    <mergeCell ref="A76:C76"/>
    <mergeCell ref="D76:N76"/>
    <mergeCell ref="A77:C77"/>
    <mergeCell ref="D77:N77"/>
    <mergeCell ref="A78:B78"/>
    <mergeCell ref="C78:D78"/>
    <mergeCell ref="E78:F78"/>
    <mergeCell ref="G78:H78"/>
    <mergeCell ref="I78:J78"/>
    <mergeCell ref="K78:L78"/>
    <mergeCell ref="A73:C73"/>
    <mergeCell ref="D73:N73"/>
    <mergeCell ref="A74:C74"/>
    <mergeCell ref="D74:N74"/>
    <mergeCell ref="A75:C75"/>
    <mergeCell ref="D75:N75"/>
    <mergeCell ref="A70:C70"/>
    <mergeCell ref="D70:N70"/>
    <mergeCell ref="A71:C71"/>
    <mergeCell ref="D71:N71"/>
    <mergeCell ref="A72:C72"/>
    <mergeCell ref="D72:N72"/>
    <mergeCell ref="K67:L67"/>
    <mergeCell ref="A68:B68"/>
    <mergeCell ref="C68:D68"/>
    <mergeCell ref="E68:F68"/>
    <mergeCell ref="G68:H68"/>
    <mergeCell ref="I68:J68"/>
    <mergeCell ref="K68:L68"/>
    <mergeCell ref="A67:B67"/>
    <mergeCell ref="C67:D67"/>
    <mergeCell ref="E67:F67"/>
    <mergeCell ref="G67:H67"/>
    <mergeCell ref="I67:J67"/>
    <mergeCell ref="A64:C64"/>
    <mergeCell ref="D64:N64"/>
    <mergeCell ref="A65:C65"/>
    <mergeCell ref="D65:N65"/>
    <mergeCell ref="A66:C66"/>
    <mergeCell ref="D66:N66"/>
    <mergeCell ref="A61:C61"/>
    <mergeCell ref="D61:N61"/>
    <mergeCell ref="A62:C62"/>
    <mergeCell ref="D62:N62"/>
    <mergeCell ref="A63:C63"/>
    <mergeCell ref="D63:N63"/>
    <mergeCell ref="K57:L57"/>
    <mergeCell ref="A59:C59"/>
    <mergeCell ref="D59:N59"/>
    <mergeCell ref="A60:C60"/>
    <mergeCell ref="D60:N60"/>
    <mergeCell ref="A57:B57"/>
    <mergeCell ref="C57:D57"/>
    <mergeCell ref="E57:F57"/>
    <mergeCell ref="G57:H57"/>
    <mergeCell ref="I57:J57"/>
    <mergeCell ref="A54:C54"/>
    <mergeCell ref="D54:N54"/>
    <mergeCell ref="A55:C55"/>
    <mergeCell ref="D55:N55"/>
    <mergeCell ref="A56:B56"/>
    <mergeCell ref="C56:D56"/>
    <mergeCell ref="E56:F56"/>
    <mergeCell ref="G56:H56"/>
    <mergeCell ref="I56:J56"/>
    <mergeCell ref="K56:L56"/>
    <mergeCell ref="A51:C51"/>
    <mergeCell ref="D51:N51"/>
    <mergeCell ref="A52:C52"/>
    <mergeCell ref="D52:N52"/>
    <mergeCell ref="A53:C53"/>
    <mergeCell ref="D53:N53"/>
    <mergeCell ref="A48:C48"/>
    <mergeCell ref="D48:N48"/>
    <mergeCell ref="A49:C49"/>
    <mergeCell ref="D49:N49"/>
    <mergeCell ref="A50:C50"/>
    <mergeCell ref="D50:N50"/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A41:C41"/>
    <mergeCell ref="D41:N41"/>
    <mergeCell ref="A42:C42"/>
    <mergeCell ref="D42:N42"/>
    <mergeCell ref="A43:C43"/>
    <mergeCell ref="D43:N43"/>
    <mergeCell ref="A38:C38"/>
    <mergeCell ref="D38:N38"/>
    <mergeCell ref="A39:C39"/>
    <mergeCell ref="D39:N39"/>
    <mergeCell ref="A40:C40"/>
    <mergeCell ref="D40:N40"/>
    <mergeCell ref="K34:L34"/>
    <mergeCell ref="A36:C36"/>
    <mergeCell ref="D36:N36"/>
    <mergeCell ref="A37:C37"/>
    <mergeCell ref="D37:N37"/>
    <mergeCell ref="A34:B34"/>
    <mergeCell ref="C34:D34"/>
    <mergeCell ref="E34:F34"/>
    <mergeCell ref="G34:H34"/>
    <mergeCell ref="I34:J34"/>
    <mergeCell ref="A31:C31"/>
    <mergeCell ref="D31:N31"/>
    <mergeCell ref="A32:C32"/>
    <mergeCell ref="D32:N32"/>
    <mergeCell ref="A33:B33"/>
    <mergeCell ref="C33:D33"/>
    <mergeCell ref="E33:F33"/>
    <mergeCell ref="G33:H33"/>
    <mergeCell ref="I33:J33"/>
    <mergeCell ref="K33:L33"/>
    <mergeCell ref="A28:C28"/>
    <mergeCell ref="D28:N28"/>
    <mergeCell ref="A29:C29"/>
    <mergeCell ref="D29:N29"/>
    <mergeCell ref="A30:C30"/>
    <mergeCell ref="D30:N30"/>
    <mergeCell ref="A25:C25"/>
    <mergeCell ref="D25:N25"/>
    <mergeCell ref="A26:C26"/>
    <mergeCell ref="D26:N26"/>
    <mergeCell ref="A27:C27"/>
    <mergeCell ref="D27:N27"/>
    <mergeCell ref="D7:N7"/>
    <mergeCell ref="A4:C4"/>
    <mergeCell ref="D15:N15"/>
    <mergeCell ref="G11:H11"/>
    <mergeCell ref="I11:J11"/>
    <mergeCell ref="D10:N10"/>
    <mergeCell ref="D18:N18"/>
    <mergeCell ref="A6:C6"/>
    <mergeCell ref="A11:B11"/>
    <mergeCell ref="A14:C14"/>
    <mergeCell ref="A7:C7"/>
    <mergeCell ref="A12:B12"/>
    <mergeCell ref="A3:C3"/>
    <mergeCell ref="A5:C5"/>
    <mergeCell ref="D9:N9"/>
    <mergeCell ref="A16:C16"/>
    <mergeCell ref="A18:C18"/>
    <mergeCell ref="C11:D11"/>
    <mergeCell ref="E11:F11"/>
    <mergeCell ref="E12:F12"/>
    <mergeCell ref="G12:H12"/>
    <mergeCell ref="A15:C15"/>
    <mergeCell ref="K11:L11"/>
    <mergeCell ref="D14:N14"/>
    <mergeCell ref="A9:C9"/>
    <mergeCell ref="D3:N3"/>
    <mergeCell ref="D5:N5"/>
    <mergeCell ref="I12:J12"/>
    <mergeCell ref="K12:L12"/>
    <mergeCell ref="D16:N16"/>
    <mergeCell ref="D6:N6"/>
    <mergeCell ref="D8:N8"/>
    <mergeCell ref="D4:N4"/>
    <mergeCell ref="C12:D12"/>
    <mergeCell ref="A8:C8"/>
    <mergeCell ref="A10:C10"/>
    <mergeCell ref="I23:J23"/>
    <mergeCell ref="K23:L23"/>
    <mergeCell ref="C23:D23"/>
    <mergeCell ref="A23:B23"/>
    <mergeCell ref="A17:C17"/>
    <mergeCell ref="A19:C19"/>
    <mergeCell ref="D21:N21"/>
    <mergeCell ref="C22:D22"/>
    <mergeCell ref="D17:N17"/>
    <mergeCell ref="D20:N20"/>
    <mergeCell ref="E23:F23"/>
    <mergeCell ref="G23:H23"/>
    <mergeCell ref="A22:B22"/>
    <mergeCell ref="A20:C20"/>
    <mergeCell ref="I22:J22"/>
    <mergeCell ref="K22:L22"/>
    <mergeCell ref="E22:F22"/>
    <mergeCell ref="G22:H22"/>
    <mergeCell ref="D19:N19"/>
    <mergeCell ref="A21:C21"/>
  </mergeCells>
  <hyperlinks>
    <hyperlink ref="A1" location="'Capacidad de ser administrado'!B1" display="Capacidad para ser administrado " xr:uid="{00000000-0004-0000-11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tabColor theme="9" tint="0.59999389629810485"/>
  </sheetPr>
  <dimension ref="A1:R155"/>
  <sheetViews>
    <sheetView topLeftCell="A109" workbookViewId="0">
      <selection activeCell="M111" sqref="M111"/>
    </sheetView>
  </sheetViews>
  <sheetFormatPr defaultColWidth="11.42578125" defaultRowHeight="15"/>
  <cols>
    <col min="1" max="9" width="11.42578125" style="59" customWidth="1"/>
    <col min="10" max="10" width="27.28515625" style="59" customWidth="1"/>
    <col min="11" max="11" width="16.5703125" style="59" customWidth="1"/>
    <col min="12" max="12" width="25.85546875" style="59" customWidth="1"/>
    <col min="13" max="13" width="11.42578125" style="59" customWidth="1"/>
    <col min="14" max="14" width="87.140625" style="59" customWidth="1"/>
    <col min="15" max="18" width="11.42578125" style="59" customWidth="1"/>
    <col min="19" max="16384" width="11.42578125" style="59"/>
  </cols>
  <sheetData>
    <row r="1" spans="1:15">
      <c r="A1" s="58" t="s">
        <v>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Confiabilidad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19.5" customHeight="1">
      <c r="A4" s="107" t="s">
        <v>86</v>
      </c>
      <c r="B4" s="140"/>
      <c r="C4" s="163"/>
      <c r="D4" s="146" t="str">
        <f>Confiabilidad!A2</f>
        <v>Se requiere que los cálculos de horas de vuelo, alertas regulatorias y conteo de aterrizajes sean consistentes y precisos en cada consulta del piloto.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253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254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>
      <c r="A8" s="105" t="s">
        <v>93</v>
      </c>
      <c r="B8" s="167"/>
      <c r="C8" s="168"/>
      <c r="D8" s="169" t="s">
        <v>255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32.25" customHeight="1">
      <c r="A9" s="102" t="s">
        <v>95</v>
      </c>
      <c r="B9" s="142"/>
      <c r="C9" s="143"/>
      <c r="D9" s="146" t="s">
        <v>256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51" customHeight="1">
      <c r="A10" s="102" t="s">
        <v>97</v>
      </c>
      <c r="B10" s="142"/>
      <c r="C10" s="143"/>
      <c r="D10" s="146" t="s">
        <v>257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100.5" customHeight="1">
      <c r="A12" s="172" t="s">
        <v>140</v>
      </c>
      <c r="B12" s="149"/>
      <c r="C12" s="172" t="s">
        <v>258</v>
      </c>
      <c r="D12" s="149"/>
      <c r="E12" s="172" t="s">
        <v>109</v>
      </c>
      <c r="F12" s="149"/>
      <c r="G12" s="172" t="s">
        <v>259</v>
      </c>
      <c r="H12" s="149"/>
      <c r="I12" s="172" t="s">
        <v>260</v>
      </c>
      <c r="J12" s="149"/>
      <c r="K12" s="172" t="s">
        <v>261</v>
      </c>
      <c r="L12" s="173"/>
      <c r="M12" s="174"/>
      <c r="N12" s="175" t="s">
        <v>262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Confiabilidad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18.75" customHeight="1">
      <c r="A15" s="107" t="s">
        <v>86</v>
      </c>
      <c r="B15" s="140"/>
      <c r="C15" s="163"/>
      <c r="D15" s="146" t="str">
        <f>Confiabilidad!A2</f>
        <v>Se requiere que los cálculos de horas de vuelo, alertas regulatorias y conteo de aterrizajes sean consistentes y precisos en cada consulta del piloto.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263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264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29.25" customHeight="1">
      <c r="A19" s="105" t="s">
        <v>93</v>
      </c>
      <c r="B19" s="167"/>
      <c r="C19" s="168"/>
      <c r="D19" s="169" t="s">
        <v>265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 ht="34.5" customHeight="1">
      <c r="A20" s="102" t="s">
        <v>95</v>
      </c>
      <c r="B20" s="142"/>
      <c r="C20" s="143"/>
      <c r="D20" s="146" t="s">
        <v>266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40.5" customHeight="1">
      <c r="A21" s="102" t="s">
        <v>97</v>
      </c>
      <c r="B21" s="142"/>
      <c r="C21" s="143"/>
      <c r="D21" s="146" t="s">
        <v>267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145.5" customHeight="1">
      <c r="A23" s="172" t="s">
        <v>268</v>
      </c>
      <c r="B23" s="149"/>
      <c r="C23" s="172" t="s">
        <v>269</v>
      </c>
      <c r="D23" s="149"/>
      <c r="E23" s="172" t="s">
        <v>109</v>
      </c>
      <c r="F23" s="149"/>
      <c r="G23" s="172" t="s">
        <v>198</v>
      </c>
      <c r="H23" s="149"/>
      <c r="I23" s="172" t="s">
        <v>270</v>
      </c>
      <c r="J23" s="149"/>
      <c r="K23" s="172" t="s">
        <v>271</v>
      </c>
      <c r="L23" s="149"/>
      <c r="M23" s="174"/>
      <c r="N23" s="175" t="s">
        <v>272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Confiabilidad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18.75" customHeight="1">
      <c r="A26" s="107" t="s">
        <v>86</v>
      </c>
      <c r="B26" s="140"/>
      <c r="C26" s="163"/>
      <c r="D26" s="146" t="str">
        <f>Confiabilidad!A3</f>
        <v>Se requiere que la aplicación maneje los errores de comunicación con el backend de manera controlada, mostrando mensajes claros al piloto sin perder datos en proceso.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273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274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 ht="31.5" customHeight="1">
      <c r="A30" s="105" t="s">
        <v>93</v>
      </c>
      <c r="B30" s="167"/>
      <c r="C30" s="168"/>
      <c r="D30" s="169" t="s">
        <v>275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33.75" customHeight="1">
      <c r="A31" s="102" t="s">
        <v>95</v>
      </c>
      <c r="B31" s="142"/>
      <c r="C31" s="143"/>
      <c r="D31" s="146" t="s">
        <v>276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 ht="44.25" customHeight="1">
      <c r="A32" s="102" t="s">
        <v>97</v>
      </c>
      <c r="B32" s="142"/>
      <c r="C32" s="143"/>
      <c r="D32" s="146" t="s">
        <v>277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106.5" customHeight="1">
      <c r="A34" s="172" t="s">
        <v>2</v>
      </c>
      <c r="B34" s="149"/>
      <c r="C34" s="172" t="s">
        <v>278</v>
      </c>
      <c r="D34" s="149"/>
      <c r="E34" s="172" t="s">
        <v>109</v>
      </c>
      <c r="F34" s="149"/>
      <c r="G34" s="172" t="s">
        <v>193</v>
      </c>
      <c r="H34" s="149"/>
      <c r="I34" s="172" t="s">
        <v>279</v>
      </c>
      <c r="J34" s="149"/>
      <c r="K34" s="172" t="s">
        <v>280</v>
      </c>
      <c r="L34" s="173"/>
      <c r="M34" s="174"/>
      <c r="N34" s="175" t="s">
        <v>281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Confiabilidad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20.25" customHeight="1">
      <c r="A37" s="107" t="s">
        <v>86</v>
      </c>
      <c r="B37" s="140"/>
      <c r="C37" s="163"/>
      <c r="D37" s="146" t="str">
        <f>Confiabilidad!A3</f>
        <v>Se requiere que la aplicación maneje los errores de comunicación con el backend de manera controlada, mostrando mensajes claros al piloto sin perder datos en proceso.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282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283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>
      <c r="A41" s="105" t="s">
        <v>93</v>
      </c>
      <c r="B41" s="167"/>
      <c r="C41" s="168"/>
      <c r="D41" s="169" t="s">
        <v>284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34.5" customHeight="1">
      <c r="A42" s="102" t="s">
        <v>95</v>
      </c>
      <c r="B42" s="142"/>
      <c r="C42" s="143"/>
      <c r="D42" s="146" t="s">
        <v>285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>
      <c r="A43" s="102" t="s">
        <v>97</v>
      </c>
      <c r="B43" s="142"/>
      <c r="C43" s="143"/>
      <c r="D43" s="146" t="s">
        <v>286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84" customHeight="1">
      <c r="A45" s="172" t="s">
        <v>2</v>
      </c>
      <c r="B45" s="149"/>
      <c r="C45" s="172" t="s">
        <v>287</v>
      </c>
      <c r="D45" s="149"/>
      <c r="E45" s="172" t="s">
        <v>288</v>
      </c>
      <c r="F45" s="149"/>
      <c r="G45" s="172" t="s">
        <v>193</v>
      </c>
      <c r="H45" s="149"/>
      <c r="I45" s="172" t="s">
        <v>289</v>
      </c>
      <c r="J45" s="149"/>
      <c r="K45" s="172" t="s">
        <v>290</v>
      </c>
      <c r="L45" s="149"/>
      <c r="M45" s="174"/>
      <c r="N45" s="175" t="s">
        <v>291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Confiabilidad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17.25" customHeight="1">
      <c r="A48" s="107" t="s">
        <v>86</v>
      </c>
      <c r="B48" s="140"/>
      <c r="C48" s="163"/>
      <c r="D48" s="146" t="str">
        <f>Confiabilidad!A4</f>
        <v>Se requiere que la información de horas de vuelo, logbooks y registros de pilotos esté almacenada de forma persistente en base de datos MySQL, previniendo pérdida de datos.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292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274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 ht="35.25" customHeight="1">
      <c r="A52" s="105" t="s">
        <v>93</v>
      </c>
      <c r="B52" s="167"/>
      <c r="C52" s="168"/>
      <c r="D52" s="169" t="s">
        <v>293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</row>
    <row r="53" spans="1:15" ht="41.25" customHeight="1">
      <c r="A53" s="102" t="s">
        <v>95</v>
      </c>
      <c r="B53" s="142"/>
      <c r="C53" s="143"/>
      <c r="D53" s="146" t="s">
        <v>294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 ht="55.5" customHeight="1">
      <c r="A54" s="102" t="s">
        <v>97</v>
      </c>
      <c r="B54" s="142"/>
      <c r="C54" s="143"/>
      <c r="D54" s="146" t="s">
        <v>295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</row>
    <row r="56" spans="1:15" ht="107.25" customHeight="1">
      <c r="A56" s="172" t="s">
        <v>2</v>
      </c>
      <c r="B56" s="149"/>
      <c r="C56" s="172" t="s">
        <v>296</v>
      </c>
      <c r="D56" s="149"/>
      <c r="E56" s="172" t="s">
        <v>109</v>
      </c>
      <c r="F56" s="149"/>
      <c r="G56" s="172" t="s">
        <v>193</v>
      </c>
      <c r="H56" s="149"/>
      <c r="I56" s="172" t="s">
        <v>297</v>
      </c>
      <c r="J56" s="149"/>
      <c r="K56" s="172" t="s">
        <v>298</v>
      </c>
      <c r="L56" s="173"/>
      <c r="M56" s="174"/>
      <c r="N56" s="175" t="s">
        <v>299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Confiabilidad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 ht="16.5" customHeight="1">
      <c r="A59" s="107" t="s">
        <v>86</v>
      </c>
      <c r="B59" s="140"/>
      <c r="C59" s="163"/>
      <c r="D59" s="146" t="str">
        <f>Confiabilidad!A4</f>
        <v>Se requiere que la información de horas de vuelo, logbooks y registros de pilotos esté almacenada de forma persistente en base de datos MySQL, previniendo pérdida de datos.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300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301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 ht="37.5" customHeight="1">
      <c r="A63" s="105" t="s">
        <v>93</v>
      </c>
      <c r="B63" s="167"/>
      <c r="C63" s="168"/>
      <c r="D63" s="169" t="s">
        <v>284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</row>
    <row r="64" spans="1:15" ht="33" customHeight="1">
      <c r="A64" s="102" t="s">
        <v>95</v>
      </c>
      <c r="B64" s="142"/>
      <c r="C64" s="143"/>
      <c r="D64" s="146" t="s">
        <v>302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 ht="40.5" customHeight="1">
      <c r="A65" s="102" t="s">
        <v>97</v>
      </c>
      <c r="B65" s="142"/>
      <c r="C65" s="143"/>
      <c r="D65" s="146" t="s">
        <v>303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108" customHeight="1">
      <c r="A67" s="172" t="s">
        <v>2</v>
      </c>
      <c r="B67" s="149"/>
      <c r="C67" s="172" t="s">
        <v>304</v>
      </c>
      <c r="D67" s="149"/>
      <c r="E67" s="172" t="s">
        <v>109</v>
      </c>
      <c r="F67" s="149"/>
      <c r="G67" s="172" t="s">
        <v>193</v>
      </c>
      <c r="H67" s="149"/>
      <c r="I67" s="172" t="s">
        <v>305</v>
      </c>
      <c r="J67" s="149"/>
      <c r="K67" s="172" t="s">
        <v>306</v>
      </c>
      <c r="L67" s="149"/>
      <c r="M67" s="174"/>
      <c r="N67" s="175" t="s">
        <v>307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Confiabilidad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17.25" customHeight="1">
      <c r="A70" s="107" t="s">
        <v>86</v>
      </c>
      <c r="B70" s="140"/>
      <c r="C70" s="163"/>
      <c r="D70" s="146" t="str">
        <f>Confiabilidad!A5</f>
        <v>Se requiere que el backend procese las solicitudes concurrentemente mediante goroutines de Go, asegurando que un error en una solicitud no afecte las demás.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308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309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 ht="34.5" customHeight="1">
      <c r="A74" s="105" t="s">
        <v>93</v>
      </c>
      <c r="B74" s="167"/>
      <c r="C74" s="168"/>
      <c r="D74" s="169" t="s">
        <v>310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/>
      <c r="O74" s="86"/>
    </row>
    <row r="75" spans="1:15" ht="31.5" customHeight="1">
      <c r="A75" s="102" t="s">
        <v>95</v>
      </c>
      <c r="B75" s="142"/>
      <c r="C75" s="143"/>
      <c r="D75" s="146" t="s">
        <v>311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33.75" customHeight="1">
      <c r="A76" s="102" t="s">
        <v>97</v>
      </c>
      <c r="B76" s="142"/>
      <c r="C76" s="143"/>
      <c r="D76" s="146" t="s">
        <v>312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 ht="30.75" customHeight="1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2" t="s">
        <v>106</v>
      </c>
      <c r="O77" s="86"/>
    </row>
    <row r="78" spans="1:15" ht="121.5" customHeight="1">
      <c r="A78" s="172" t="s">
        <v>313</v>
      </c>
      <c r="B78" s="149"/>
      <c r="C78" s="172" t="s">
        <v>314</v>
      </c>
      <c r="D78" s="149"/>
      <c r="E78" s="172" t="s">
        <v>315</v>
      </c>
      <c r="F78" s="149"/>
      <c r="G78" s="172" t="s">
        <v>193</v>
      </c>
      <c r="H78" s="149"/>
      <c r="I78" s="172" t="s">
        <v>316</v>
      </c>
      <c r="J78" s="149"/>
      <c r="K78" s="172" t="s">
        <v>317</v>
      </c>
      <c r="L78" s="173"/>
      <c r="M78" s="174"/>
      <c r="N78" s="175" t="s">
        <v>318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Confiabilidad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 ht="19.5" customHeight="1">
      <c r="A81" s="107" t="s">
        <v>86</v>
      </c>
      <c r="B81" s="140"/>
      <c r="C81" s="163"/>
      <c r="D81" s="146" t="str">
        <f>Confiabilidad!A5</f>
        <v>Se requiere que el backend procese las solicitudes concurrentemente mediante goroutines de Go, asegurando que un error en una solicitud no afecte las demás.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319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104" t="s">
        <v>89</v>
      </c>
      <c r="B83" s="144"/>
      <c r="C83" s="166"/>
      <c r="D83" s="141" t="s">
        <v>320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104" t="s">
        <v>91</v>
      </c>
      <c r="B84" s="144"/>
      <c r="C84" s="166"/>
      <c r="D84" s="141" t="s">
        <v>116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>
      <c r="A85" s="105" t="s">
        <v>93</v>
      </c>
      <c r="B85" s="167"/>
      <c r="C85" s="168"/>
      <c r="D85" s="169" t="s">
        <v>321</v>
      </c>
      <c r="E85" s="170"/>
      <c r="F85" s="170"/>
      <c r="G85" s="170"/>
      <c r="H85" s="170"/>
      <c r="I85" s="170"/>
      <c r="J85" s="170"/>
      <c r="K85" s="170"/>
      <c r="L85" s="170"/>
      <c r="M85" s="170"/>
      <c r="N85" s="171"/>
      <c r="O85" s="86"/>
    </row>
    <row r="86" spans="1:15" ht="32.25" customHeight="1">
      <c r="A86" s="102" t="s">
        <v>95</v>
      </c>
      <c r="B86" s="142"/>
      <c r="C86" s="143"/>
      <c r="D86" s="146" t="s">
        <v>322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3"/>
      <c r="O86" s="86"/>
    </row>
    <row r="87" spans="1:15" ht="38.25" customHeight="1">
      <c r="A87" s="102" t="s">
        <v>97</v>
      </c>
      <c r="B87" s="142"/>
      <c r="C87" s="143"/>
      <c r="D87" s="146" t="s">
        <v>323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 ht="30.75" customHeight="1">
      <c r="A88" s="103" t="s">
        <v>99</v>
      </c>
      <c r="B88" s="147"/>
      <c r="C88" s="103" t="s">
        <v>100</v>
      </c>
      <c r="D88" s="147"/>
      <c r="E88" s="103" t="s">
        <v>101</v>
      </c>
      <c r="F88" s="147"/>
      <c r="G88" s="103" t="s">
        <v>102</v>
      </c>
      <c r="H88" s="147"/>
      <c r="I88" s="103" t="s">
        <v>103</v>
      </c>
      <c r="J88" s="147"/>
      <c r="K88" s="103" t="s">
        <v>104</v>
      </c>
      <c r="L88" s="147"/>
      <c r="M88" s="61" t="s">
        <v>105</v>
      </c>
      <c r="N88" s="62" t="s">
        <v>106</v>
      </c>
      <c r="O88" s="86"/>
    </row>
    <row r="89" spans="1:15" ht="118.5" customHeight="1">
      <c r="A89" s="172" t="s">
        <v>313</v>
      </c>
      <c r="B89" s="149"/>
      <c r="C89" s="172" t="s">
        <v>324</v>
      </c>
      <c r="D89" s="149"/>
      <c r="E89" s="172" t="s">
        <v>109</v>
      </c>
      <c r="F89" s="149"/>
      <c r="G89" s="172" t="s">
        <v>193</v>
      </c>
      <c r="H89" s="149"/>
      <c r="I89" s="172" t="s">
        <v>325</v>
      </c>
      <c r="J89" s="149"/>
      <c r="K89" s="172" t="s">
        <v>326</v>
      </c>
      <c r="L89" s="149"/>
      <c r="M89" s="174"/>
      <c r="N89" s="175" t="s">
        <v>327</v>
      </c>
      <c r="O89" s="86"/>
    </row>
    <row r="90" spans="1:1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>
      <c r="A91" s="106" t="s">
        <v>85</v>
      </c>
      <c r="B91" s="160"/>
      <c r="C91" s="161"/>
      <c r="D91" s="141" t="str">
        <f>$A$1</f>
        <v>Confiabilidad</v>
      </c>
      <c r="E91" s="142"/>
      <c r="F91" s="142"/>
      <c r="G91" s="142"/>
      <c r="H91" s="142"/>
      <c r="I91" s="142"/>
      <c r="J91" s="142"/>
      <c r="K91" s="142"/>
      <c r="L91" s="142"/>
      <c r="M91" s="142"/>
      <c r="N91" s="143"/>
      <c r="O91" s="86"/>
    </row>
    <row r="92" spans="1:15" ht="18" customHeight="1">
      <c r="A92" s="107" t="s">
        <v>86</v>
      </c>
      <c r="B92" s="140"/>
      <c r="C92" s="163"/>
      <c r="D92" s="146" t="str">
        <f>Confiabilidad!A6</f>
        <v>Se requiere que la aplicación detecte errores en cálculos de horas, alertas o comunicación con Keycloak, y los presente al piloto de manera controlada sin cierres inesperados.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04" t="s">
        <v>87</v>
      </c>
      <c r="B93" s="144"/>
      <c r="C93" s="166"/>
      <c r="D93" s="141" t="s">
        <v>328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>
      <c r="A94" s="104" t="s">
        <v>89</v>
      </c>
      <c r="B94" s="144"/>
      <c r="C94" s="166"/>
      <c r="D94" s="141" t="s">
        <v>329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104" t="s">
        <v>91</v>
      </c>
      <c r="B95" s="144"/>
      <c r="C95" s="166"/>
      <c r="D95" s="141" t="s">
        <v>92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 ht="27.75" customHeight="1">
      <c r="A96" s="105" t="s">
        <v>93</v>
      </c>
      <c r="B96" s="167"/>
      <c r="C96" s="168"/>
      <c r="D96" s="169" t="s">
        <v>330</v>
      </c>
      <c r="E96" s="170"/>
      <c r="F96" s="170"/>
      <c r="G96" s="170"/>
      <c r="H96" s="170"/>
      <c r="I96" s="170"/>
      <c r="J96" s="170"/>
      <c r="K96" s="170"/>
      <c r="L96" s="170"/>
      <c r="M96" s="170"/>
      <c r="N96" s="171"/>
      <c r="O96" s="86"/>
    </row>
    <row r="97" spans="1:15" ht="49.5" customHeight="1">
      <c r="A97" s="102" t="s">
        <v>95</v>
      </c>
      <c r="B97" s="142"/>
      <c r="C97" s="143"/>
      <c r="D97" s="146" t="s">
        <v>331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3"/>
      <c r="O97" s="86"/>
    </row>
    <row r="98" spans="1:15" ht="41.25" customHeight="1">
      <c r="A98" s="102" t="s">
        <v>97</v>
      </c>
      <c r="B98" s="142"/>
      <c r="C98" s="143"/>
      <c r="D98" s="146" t="s">
        <v>332</v>
      </c>
      <c r="E98" s="142"/>
      <c r="F98" s="142"/>
      <c r="G98" s="142"/>
      <c r="H98" s="142"/>
      <c r="I98" s="142"/>
      <c r="J98" s="142"/>
      <c r="K98" s="142"/>
      <c r="L98" s="142"/>
      <c r="M98" s="142"/>
      <c r="N98" s="143"/>
      <c r="O98" s="86"/>
    </row>
    <row r="99" spans="1:15" ht="30.75" customHeight="1">
      <c r="A99" s="103" t="s">
        <v>99</v>
      </c>
      <c r="B99" s="147"/>
      <c r="C99" s="103" t="s">
        <v>100</v>
      </c>
      <c r="D99" s="147"/>
      <c r="E99" s="103" t="s">
        <v>101</v>
      </c>
      <c r="F99" s="147"/>
      <c r="G99" s="103" t="s">
        <v>102</v>
      </c>
      <c r="H99" s="147"/>
      <c r="I99" s="103" t="s">
        <v>103</v>
      </c>
      <c r="J99" s="147"/>
      <c r="K99" s="103" t="s">
        <v>104</v>
      </c>
      <c r="L99" s="147"/>
      <c r="M99" s="61" t="s">
        <v>105</v>
      </c>
      <c r="N99" s="62" t="s">
        <v>106</v>
      </c>
      <c r="O99" s="86"/>
    </row>
    <row r="100" spans="1:15" ht="100.5" customHeight="1">
      <c r="A100" s="172" t="s">
        <v>2</v>
      </c>
      <c r="B100" s="149"/>
      <c r="C100" s="172" t="s">
        <v>333</v>
      </c>
      <c r="D100" s="149"/>
      <c r="E100" s="172" t="s">
        <v>334</v>
      </c>
      <c r="F100" s="149"/>
      <c r="G100" s="172" t="s">
        <v>193</v>
      </c>
      <c r="H100" s="149"/>
      <c r="I100" s="172" t="s">
        <v>335</v>
      </c>
      <c r="J100" s="149"/>
      <c r="K100" s="172" t="s">
        <v>336</v>
      </c>
      <c r="L100" s="173"/>
      <c r="M100" s="174"/>
      <c r="N100" s="175" t="s">
        <v>337</v>
      </c>
      <c r="O100" s="86"/>
    </row>
    <row r="101" spans="1:1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</row>
    <row r="102" spans="1:15">
      <c r="A102" s="106" t="s">
        <v>85</v>
      </c>
      <c r="B102" s="160"/>
      <c r="C102" s="161"/>
      <c r="D102" s="141" t="str">
        <f>$A$1</f>
        <v>Confiabilidad</v>
      </c>
      <c r="E102" s="142"/>
      <c r="F102" s="142"/>
      <c r="G102" s="142"/>
      <c r="H102" s="142"/>
      <c r="I102" s="142"/>
      <c r="J102" s="142"/>
      <c r="K102" s="142"/>
      <c r="L102" s="142"/>
      <c r="M102" s="142"/>
      <c r="N102" s="143"/>
      <c r="O102" s="86"/>
    </row>
    <row r="103" spans="1:15" ht="18.75" customHeight="1">
      <c r="A103" s="107" t="s">
        <v>86</v>
      </c>
      <c r="B103" s="140"/>
      <c r="C103" s="163"/>
      <c r="D103" s="146" t="str">
        <f>Confiabilidad!A6</f>
        <v>Se requiere que la aplicación detecte errores en cálculos de horas, alertas o comunicación con Keycloak, y los presente al piloto de manera controlada sin cierres inesperados.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86"/>
    </row>
    <row r="104" spans="1:15">
      <c r="A104" s="104" t="s">
        <v>87</v>
      </c>
      <c r="B104" s="144"/>
      <c r="C104" s="166"/>
      <c r="D104" s="141" t="s">
        <v>338</v>
      </c>
      <c r="E104" s="142"/>
      <c r="F104" s="142"/>
      <c r="G104" s="142"/>
      <c r="H104" s="142"/>
      <c r="I104" s="142"/>
      <c r="J104" s="142"/>
      <c r="K104" s="142"/>
      <c r="L104" s="142"/>
      <c r="M104" s="142"/>
      <c r="N104" s="143"/>
      <c r="O104" s="86"/>
    </row>
    <row r="105" spans="1:15">
      <c r="A105" s="104" t="s">
        <v>89</v>
      </c>
      <c r="B105" s="144"/>
      <c r="C105" s="166"/>
      <c r="D105" s="141" t="s">
        <v>339</v>
      </c>
      <c r="E105" s="142"/>
      <c r="F105" s="142"/>
      <c r="G105" s="142"/>
      <c r="H105" s="142"/>
      <c r="I105" s="142"/>
      <c r="J105" s="142"/>
      <c r="K105" s="142"/>
      <c r="L105" s="142"/>
      <c r="M105" s="142"/>
      <c r="N105" s="143"/>
      <c r="O105" s="86"/>
    </row>
    <row r="106" spans="1:15">
      <c r="A106" s="104" t="s">
        <v>91</v>
      </c>
      <c r="B106" s="144"/>
      <c r="C106" s="166"/>
      <c r="D106" s="141" t="s">
        <v>116</v>
      </c>
      <c r="E106" s="142"/>
      <c r="F106" s="142"/>
      <c r="G106" s="142"/>
      <c r="H106" s="142"/>
      <c r="I106" s="142"/>
      <c r="J106" s="142"/>
      <c r="K106" s="142"/>
      <c r="L106" s="142"/>
      <c r="M106" s="142"/>
      <c r="N106" s="143"/>
      <c r="O106" s="86"/>
    </row>
    <row r="107" spans="1:15" ht="35.25" customHeight="1">
      <c r="A107" s="105" t="s">
        <v>93</v>
      </c>
      <c r="B107" s="167"/>
      <c r="C107" s="168"/>
      <c r="D107" s="169" t="s">
        <v>340</v>
      </c>
      <c r="E107" s="170"/>
      <c r="F107" s="170"/>
      <c r="G107" s="170"/>
      <c r="H107" s="170"/>
      <c r="I107" s="170"/>
      <c r="J107" s="170"/>
      <c r="K107" s="170"/>
      <c r="L107" s="170"/>
      <c r="M107" s="170"/>
      <c r="N107" s="171"/>
      <c r="O107" s="86"/>
    </row>
    <row r="108" spans="1:15" ht="36" customHeight="1">
      <c r="A108" s="102" t="s">
        <v>95</v>
      </c>
      <c r="B108" s="142"/>
      <c r="C108" s="143"/>
      <c r="D108" s="146" t="s">
        <v>341</v>
      </c>
      <c r="E108" s="142"/>
      <c r="F108" s="142"/>
      <c r="G108" s="142"/>
      <c r="H108" s="142"/>
      <c r="I108" s="142"/>
      <c r="J108" s="142"/>
      <c r="K108" s="142"/>
      <c r="L108" s="142"/>
      <c r="M108" s="142"/>
      <c r="N108" s="143"/>
      <c r="O108" s="86"/>
    </row>
    <row r="109" spans="1:15" ht="48.75" customHeight="1">
      <c r="A109" s="102" t="s">
        <v>97</v>
      </c>
      <c r="B109" s="142"/>
      <c r="C109" s="143"/>
      <c r="D109" s="146" t="s">
        <v>342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3"/>
      <c r="O109" s="86"/>
    </row>
    <row r="110" spans="1:15" ht="30.75" customHeight="1">
      <c r="A110" s="103" t="s">
        <v>99</v>
      </c>
      <c r="B110" s="147"/>
      <c r="C110" s="103" t="s">
        <v>100</v>
      </c>
      <c r="D110" s="147"/>
      <c r="E110" s="103" t="s">
        <v>101</v>
      </c>
      <c r="F110" s="147"/>
      <c r="G110" s="103" t="s">
        <v>102</v>
      </c>
      <c r="H110" s="147"/>
      <c r="I110" s="103" t="s">
        <v>103</v>
      </c>
      <c r="J110" s="147"/>
      <c r="K110" s="103" t="s">
        <v>104</v>
      </c>
      <c r="L110" s="147"/>
      <c r="M110" s="61" t="s">
        <v>105</v>
      </c>
      <c r="N110" s="62" t="s">
        <v>106</v>
      </c>
      <c r="O110" s="86"/>
    </row>
    <row r="111" spans="1:15" ht="121.5" customHeight="1">
      <c r="A111" s="172" t="s">
        <v>2</v>
      </c>
      <c r="B111" s="149"/>
      <c r="C111" s="172" t="s">
        <v>343</v>
      </c>
      <c r="D111" s="149"/>
      <c r="E111" s="172" t="s">
        <v>109</v>
      </c>
      <c r="F111" s="149"/>
      <c r="G111" s="172" t="s">
        <v>193</v>
      </c>
      <c r="H111" s="149"/>
      <c r="I111" s="172" t="s">
        <v>344</v>
      </c>
      <c r="J111" s="149"/>
      <c r="K111" s="172" t="s">
        <v>345</v>
      </c>
      <c r="L111" s="149"/>
      <c r="M111" s="174"/>
      <c r="N111" s="175" t="s">
        <v>346</v>
      </c>
      <c r="O111" s="86"/>
    </row>
    <row r="112" spans="1:1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</row>
    <row r="113" spans="1:18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139"/>
      <c r="Q113" s="139"/>
      <c r="R113" s="139"/>
    </row>
    <row r="114" spans="1:18" ht="18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139"/>
      <c r="Q114" s="139"/>
      <c r="R114" s="139"/>
    </row>
    <row r="115" spans="1:18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139"/>
      <c r="Q115" s="139"/>
      <c r="R115" s="139"/>
    </row>
    <row r="116" spans="1:18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139"/>
      <c r="Q116" s="139"/>
      <c r="R116" s="139"/>
    </row>
    <row r="117" spans="1:18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139"/>
      <c r="Q117" s="139"/>
      <c r="R117" s="139"/>
    </row>
    <row r="118" spans="1:18" ht="30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139"/>
      <c r="Q118" s="139"/>
      <c r="R118" s="139"/>
    </row>
    <row r="119" spans="1:18" ht="45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139"/>
      <c r="Q119" s="139"/>
      <c r="R119" s="139"/>
    </row>
    <row r="120" spans="1:18" ht="4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139"/>
      <c r="Q120" s="139"/>
      <c r="R120" s="139"/>
    </row>
    <row r="121" spans="1:18" ht="30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139"/>
      <c r="Q121" s="139"/>
      <c r="R121" s="139"/>
    </row>
    <row r="122" spans="1:18" ht="116.2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139"/>
      <c r="Q122" s="139"/>
      <c r="R122" s="139"/>
    </row>
    <row r="123" spans="1:18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139"/>
      <c r="Q123" s="139"/>
      <c r="R123" s="139"/>
    </row>
    <row r="124" spans="1:18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139"/>
      <c r="Q124" s="139"/>
      <c r="R124" s="139"/>
    </row>
    <row r="125" spans="1:18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139"/>
      <c r="Q125" s="139"/>
      <c r="R125" s="139"/>
    </row>
    <row r="126" spans="1:18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139"/>
      <c r="Q126" s="139"/>
      <c r="R126" s="139"/>
    </row>
    <row r="127" spans="1:18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139"/>
      <c r="Q127" s="139"/>
      <c r="R127" s="139"/>
    </row>
    <row r="128" spans="1:1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139"/>
      <c r="Q128" s="139"/>
      <c r="R128" s="139"/>
    </row>
    <row r="129" spans="1:18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139"/>
      <c r="Q129" s="139"/>
      <c r="R129" s="139"/>
    </row>
    <row r="130" spans="1:18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139"/>
      <c r="Q130" s="139"/>
      <c r="R130" s="139"/>
    </row>
    <row r="131" spans="1:18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139"/>
      <c r="Q131" s="139"/>
      <c r="R131" s="139"/>
    </row>
    <row r="132" spans="1:18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139"/>
      <c r="Q132" s="139"/>
      <c r="R132" s="139"/>
    </row>
    <row r="133" spans="1:18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139"/>
      <c r="Q133" s="139"/>
      <c r="R133" s="139"/>
    </row>
    <row r="134" spans="1:18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139"/>
      <c r="Q134" s="139"/>
      <c r="R134" s="139"/>
    </row>
    <row r="135" spans="1:18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139"/>
      <c r="Q135" s="139"/>
      <c r="R135" s="139"/>
    </row>
    <row r="136" spans="1:18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139"/>
      <c r="Q136" s="139"/>
      <c r="R136" s="139"/>
    </row>
    <row r="137" spans="1:18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139"/>
      <c r="Q137" s="139"/>
      <c r="R137" s="139"/>
    </row>
    <row r="138" spans="1:1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139"/>
      <c r="Q138" s="139"/>
      <c r="R138" s="139"/>
    </row>
    <row r="139" spans="1:18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139"/>
      <c r="Q139" s="139"/>
      <c r="R139" s="139"/>
    </row>
    <row r="140" spans="1:18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139"/>
      <c r="Q140" s="139"/>
      <c r="R140" s="139"/>
    </row>
    <row r="141" spans="1:18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139"/>
      <c r="Q141" s="139"/>
      <c r="R141" s="139"/>
    </row>
    <row r="142" spans="1:18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139"/>
      <c r="Q142" s="139"/>
      <c r="R142" s="139"/>
    </row>
    <row r="143" spans="1:18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139"/>
      <c r="Q143" s="139"/>
      <c r="R143" s="139"/>
    </row>
    <row r="144" spans="1:18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139"/>
      <c r="Q144" s="139"/>
      <c r="R144" s="139"/>
    </row>
    <row r="145" spans="1:18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139"/>
      <c r="Q145" s="139"/>
      <c r="R145" s="139"/>
    </row>
    <row r="146" spans="1:18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139"/>
      <c r="Q146" s="139"/>
      <c r="R146" s="139"/>
    </row>
    <row r="147" spans="1:18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139"/>
      <c r="Q147" s="139"/>
      <c r="R147" s="139"/>
    </row>
    <row r="148" spans="1:1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139"/>
      <c r="Q148" s="139"/>
      <c r="R148" s="139"/>
    </row>
    <row r="149" spans="1:18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139"/>
      <c r="Q149" s="139"/>
      <c r="R149" s="139"/>
    </row>
    <row r="150" spans="1:18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139"/>
      <c r="Q150" s="139"/>
      <c r="R150" s="139"/>
    </row>
    <row r="151" spans="1:18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139"/>
      <c r="Q151" s="139"/>
      <c r="R151" s="139"/>
    </row>
    <row r="152" spans="1:18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139"/>
      <c r="Q152" s="139"/>
      <c r="R152" s="139"/>
    </row>
    <row r="153" spans="1:18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139"/>
      <c r="Q153" s="139"/>
      <c r="R153" s="139"/>
    </row>
    <row r="154" spans="1:18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139"/>
      <c r="Q154" s="139"/>
      <c r="R154" s="139"/>
    </row>
    <row r="155" spans="1:18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139"/>
      <c r="Q155" s="139"/>
      <c r="R155" s="139"/>
    </row>
  </sheetData>
  <mergeCells count="280"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A41:C41"/>
    <mergeCell ref="D41:N41"/>
    <mergeCell ref="A42:C42"/>
    <mergeCell ref="D42:N42"/>
    <mergeCell ref="A43:C43"/>
    <mergeCell ref="D43:N43"/>
    <mergeCell ref="A38:C38"/>
    <mergeCell ref="D38:N38"/>
    <mergeCell ref="A39:C39"/>
    <mergeCell ref="D39:N39"/>
    <mergeCell ref="A40:C40"/>
    <mergeCell ref="D40:N40"/>
    <mergeCell ref="K34:L34"/>
    <mergeCell ref="A36:C36"/>
    <mergeCell ref="D36:N36"/>
    <mergeCell ref="A37:C37"/>
    <mergeCell ref="D37:N37"/>
    <mergeCell ref="A34:B34"/>
    <mergeCell ref="C34:D34"/>
    <mergeCell ref="E34:F34"/>
    <mergeCell ref="G34:H34"/>
    <mergeCell ref="I34:J34"/>
    <mergeCell ref="A31:C31"/>
    <mergeCell ref="D31:N31"/>
    <mergeCell ref="A32:C32"/>
    <mergeCell ref="D32:N32"/>
    <mergeCell ref="A33:B33"/>
    <mergeCell ref="C33:D33"/>
    <mergeCell ref="E33:F33"/>
    <mergeCell ref="G33:H33"/>
    <mergeCell ref="I33:J33"/>
    <mergeCell ref="K33:L33"/>
    <mergeCell ref="A28:C28"/>
    <mergeCell ref="D28:N28"/>
    <mergeCell ref="A29:C29"/>
    <mergeCell ref="D29:N29"/>
    <mergeCell ref="A30:C30"/>
    <mergeCell ref="D30:N30"/>
    <mergeCell ref="A25:C25"/>
    <mergeCell ref="D25:N25"/>
    <mergeCell ref="A26:C26"/>
    <mergeCell ref="D26:N26"/>
    <mergeCell ref="A27:C27"/>
    <mergeCell ref="D27:N27"/>
    <mergeCell ref="D7:N7"/>
    <mergeCell ref="A4:C4"/>
    <mergeCell ref="D15:N15"/>
    <mergeCell ref="G11:H11"/>
    <mergeCell ref="I11:J11"/>
    <mergeCell ref="D10:N10"/>
    <mergeCell ref="D18:N18"/>
    <mergeCell ref="A6:C6"/>
    <mergeCell ref="A11:B11"/>
    <mergeCell ref="A14:C14"/>
    <mergeCell ref="A7:C7"/>
    <mergeCell ref="A12:B12"/>
    <mergeCell ref="A3:C3"/>
    <mergeCell ref="A5:C5"/>
    <mergeCell ref="D9:N9"/>
    <mergeCell ref="A16:C16"/>
    <mergeCell ref="A18:C18"/>
    <mergeCell ref="C11:D11"/>
    <mergeCell ref="E11:F11"/>
    <mergeCell ref="E12:F12"/>
    <mergeCell ref="G12:H12"/>
    <mergeCell ref="A15:C15"/>
    <mergeCell ref="K11:L11"/>
    <mergeCell ref="D14:N14"/>
    <mergeCell ref="A9:C9"/>
    <mergeCell ref="D3:N3"/>
    <mergeCell ref="D5:N5"/>
    <mergeCell ref="I12:J12"/>
    <mergeCell ref="K12:L12"/>
    <mergeCell ref="D16:N16"/>
    <mergeCell ref="D6:N6"/>
    <mergeCell ref="D8:N8"/>
    <mergeCell ref="D4:N4"/>
    <mergeCell ref="C12:D12"/>
    <mergeCell ref="A8:C8"/>
    <mergeCell ref="A10:C10"/>
    <mergeCell ref="I23:J23"/>
    <mergeCell ref="K23:L23"/>
    <mergeCell ref="A23:B23"/>
    <mergeCell ref="C23:D23"/>
    <mergeCell ref="A17:C17"/>
    <mergeCell ref="A19:C19"/>
    <mergeCell ref="D21:N21"/>
    <mergeCell ref="C22:D22"/>
    <mergeCell ref="D17:N17"/>
    <mergeCell ref="D20:N20"/>
    <mergeCell ref="E23:F23"/>
    <mergeCell ref="G23:H23"/>
    <mergeCell ref="A22:B22"/>
    <mergeCell ref="A20:C20"/>
    <mergeCell ref="I22:J22"/>
    <mergeCell ref="K22:L22"/>
    <mergeCell ref="E22:F22"/>
    <mergeCell ref="G22:H22"/>
    <mergeCell ref="D19:N19"/>
    <mergeCell ref="A21:C21"/>
    <mergeCell ref="A47:C47"/>
    <mergeCell ref="D47:N47"/>
    <mergeCell ref="A48:C48"/>
    <mergeCell ref="D48:N48"/>
    <mergeCell ref="A49:C49"/>
    <mergeCell ref="D49:N49"/>
    <mergeCell ref="A50:C50"/>
    <mergeCell ref="D50:N50"/>
    <mergeCell ref="A51:C51"/>
    <mergeCell ref="D51:N51"/>
    <mergeCell ref="A52:C52"/>
    <mergeCell ref="D52:N52"/>
    <mergeCell ref="A53:C53"/>
    <mergeCell ref="D53:N53"/>
    <mergeCell ref="A54:C54"/>
    <mergeCell ref="D54:N54"/>
    <mergeCell ref="A55:B55"/>
    <mergeCell ref="C55:D55"/>
    <mergeCell ref="E55:F55"/>
    <mergeCell ref="G55:H55"/>
    <mergeCell ref="I55:J55"/>
    <mergeCell ref="K55:L55"/>
    <mergeCell ref="A56:B56"/>
    <mergeCell ref="C56:D56"/>
    <mergeCell ref="E56:F56"/>
    <mergeCell ref="G56:H56"/>
    <mergeCell ref="I56:J56"/>
    <mergeCell ref="K56:L56"/>
    <mergeCell ref="A58:C58"/>
    <mergeCell ref="D58:N58"/>
    <mergeCell ref="A59:C59"/>
    <mergeCell ref="D59:N59"/>
    <mergeCell ref="A60:C60"/>
    <mergeCell ref="D60:N60"/>
    <mergeCell ref="A61:C61"/>
    <mergeCell ref="D61:N61"/>
    <mergeCell ref="A62:C62"/>
    <mergeCell ref="D62:N62"/>
    <mergeCell ref="A63:C63"/>
    <mergeCell ref="D63:N63"/>
    <mergeCell ref="A64:C64"/>
    <mergeCell ref="D64:N64"/>
    <mergeCell ref="A65:C65"/>
    <mergeCell ref="D65:N65"/>
    <mergeCell ref="A66:B66"/>
    <mergeCell ref="C66:D66"/>
    <mergeCell ref="E66:F66"/>
    <mergeCell ref="G66:H66"/>
    <mergeCell ref="I66:J66"/>
    <mergeCell ref="K66:L66"/>
    <mergeCell ref="A67:B67"/>
    <mergeCell ref="C67:D67"/>
    <mergeCell ref="E67:F67"/>
    <mergeCell ref="G67:H67"/>
    <mergeCell ref="I67:J67"/>
    <mergeCell ref="K67:L67"/>
    <mergeCell ref="A69:C69"/>
    <mergeCell ref="D69:N69"/>
    <mergeCell ref="A70:C70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C75"/>
    <mergeCell ref="D75:N75"/>
    <mergeCell ref="A76:C76"/>
    <mergeCell ref="D76:N76"/>
    <mergeCell ref="A77:B77"/>
    <mergeCell ref="C77:D77"/>
    <mergeCell ref="E77:F77"/>
    <mergeCell ref="G77:H77"/>
    <mergeCell ref="I77:J77"/>
    <mergeCell ref="K77:L77"/>
    <mergeCell ref="A78:B78"/>
    <mergeCell ref="C78:D78"/>
    <mergeCell ref="E78:F78"/>
    <mergeCell ref="G78:H78"/>
    <mergeCell ref="I78:J78"/>
    <mergeCell ref="K78:L78"/>
    <mergeCell ref="A80:C80"/>
    <mergeCell ref="D80:N80"/>
    <mergeCell ref="A81:C81"/>
    <mergeCell ref="D81:N81"/>
    <mergeCell ref="A82:C82"/>
    <mergeCell ref="D82:N82"/>
    <mergeCell ref="A83:C83"/>
    <mergeCell ref="D83:N83"/>
    <mergeCell ref="A84:C84"/>
    <mergeCell ref="D84:N84"/>
    <mergeCell ref="A85:C85"/>
    <mergeCell ref="D85:N85"/>
    <mergeCell ref="A86:C86"/>
    <mergeCell ref="D86:N86"/>
    <mergeCell ref="A87:C87"/>
    <mergeCell ref="D87:N87"/>
    <mergeCell ref="A88:B88"/>
    <mergeCell ref="C88:D88"/>
    <mergeCell ref="E88:F88"/>
    <mergeCell ref="G88:H88"/>
    <mergeCell ref="I88:J88"/>
    <mergeCell ref="K88:L88"/>
    <mergeCell ref="A89:B89"/>
    <mergeCell ref="C89:D89"/>
    <mergeCell ref="E89:F89"/>
    <mergeCell ref="G89:H89"/>
    <mergeCell ref="I89:J89"/>
    <mergeCell ref="K89:L89"/>
    <mergeCell ref="A91:C91"/>
    <mergeCell ref="D91:N91"/>
    <mergeCell ref="A92:C92"/>
    <mergeCell ref="D92:N92"/>
    <mergeCell ref="A93:C93"/>
    <mergeCell ref="D93:N93"/>
    <mergeCell ref="A94:C94"/>
    <mergeCell ref="D94:N94"/>
    <mergeCell ref="A95:C95"/>
    <mergeCell ref="D95:N95"/>
    <mergeCell ref="A96:C96"/>
    <mergeCell ref="D96:N96"/>
    <mergeCell ref="A97:C97"/>
    <mergeCell ref="D97:N97"/>
    <mergeCell ref="A98:C98"/>
    <mergeCell ref="D98:N98"/>
    <mergeCell ref="A99:B99"/>
    <mergeCell ref="C99:D99"/>
    <mergeCell ref="E99:F99"/>
    <mergeCell ref="G99:H99"/>
    <mergeCell ref="I99:J99"/>
    <mergeCell ref="K99:L99"/>
    <mergeCell ref="A100:B100"/>
    <mergeCell ref="C100:D100"/>
    <mergeCell ref="E100:F100"/>
    <mergeCell ref="G100:H100"/>
    <mergeCell ref="I100:J100"/>
    <mergeCell ref="K100:L100"/>
    <mergeCell ref="A102:C102"/>
    <mergeCell ref="D102:N102"/>
    <mergeCell ref="A103:C103"/>
    <mergeCell ref="D103:N103"/>
    <mergeCell ref="A104:C104"/>
    <mergeCell ref="D104:N104"/>
    <mergeCell ref="A105:C105"/>
    <mergeCell ref="D105:N105"/>
    <mergeCell ref="A106:C106"/>
    <mergeCell ref="D106:N106"/>
    <mergeCell ref="A107:C107"/>
    <mergeCell ref="D107:N107"/>
    <mergeCell ref="A108:C108"/>
    <mergeCell ref="D108:N108"/>
    <mergeCell ref="A109:C109"/>
    <mergeCell ref="D109:N109"/>
    <mergeCell ref="A110:B110"/>
    <mergeCell ref="C110:D110"/>
    <mergeCell ref="E110:F110"/>
    <mergeCell ref="G110:H110"/>
    <mergeCell ref="I110:J110"/>
    <mergeCell ref="K110:L110"/>
    <mergeCell ref="A111:B111"/>
    <mergeCell ref="C111:D111"/>
    <mergeCell ref="E111:F111"/>
    <mergeCell ref="G111:H111"/>
    <mergeCell ref="I111:J111"/>
    <mergeCell ref="K111:L111"/>
  </mergeCells>
  <hyperlinks>
    <hyperlink ref="A1" location="'Confiabilidad'!B1" display="Confiabilidad" xr:uid="{00000000-0004-0000-12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59999389629810485"/>
  </sheetPr>
  <dimension ref="A1:O89"/>
  <sheetViews>
    <sheetView topLeftCell="A79" workbookViewId="0">
      <selection activeCell="N92" sqref="N92"/>
    </sheetView>
  </sheetViews>
  <sheetFormatPr defaultColWidth="11.42578125" defaultRowHeight="15"/>
  <cols>
    <col min="1" max="1" width="12.28515625" style="59" bestFit="1" customWidth="1"/>
    <col min="2" max="8" width="11.42578125" style="59" customWidth="1"/>
    <col min="9" max="9" width="11.42578125" style="59" bestFit="1" customWidth="1"/>
    <col min="10" max="10" width="32.7109375" style="59" customWidth="1"/>
    <col min="11" max="11" width="11.42578125" style="59" customWidth="1"/>
    <col min="12" max="12" width="23.28515625" style="59" customWidth="1"/>
    <col min="13" max="13" width="11.42578125" style="59" customWidth="1"/>
    <col min="14" max="14" width="60" style="59" customWidth="1"/>
    <col min="15" max="16384" width="11.42578125" style="59"/>
  </cols>
  <sheetData>
    <row r="1" spans="1:15">
      <c r="A1" s="58" t="s">
        <v>21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Conformidad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27.75" customHeight="1">
      <c r="A4" s="107" t="s">
        <v>86</v>
      </c>
      <c r="B4" s="140"/>
      <c r="C4" s="163"/>
      <c r="D4" s="146" t="str">
        <f>Conformidad!A2</f>
        <v>Se requiere que la aplicación cumpla con las regulaciones de aviación civil vigentes en materia de registro de horas de vuelo, límites operacionales y documentación de la actividad del piloto.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347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348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>
      <c r="A8" s="105" t="s">
        <v>93</v>
      </c>
      <c r="B8" s="167"/>
      <c r="C8" s="168"/>
      <c r="D8" s="169" t="s">
        <v>349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32.25" customHeight="1">
      <c r="A9" s="102" t="s">
        <v>95</v>
      </c>
      <c r="B9" s="142"/>
      <c r="C9" s="143"/>
      <c r="D9" s="146" t="s">
        <v>350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19.5" customHeight="1">
      <c r="A10" s="102" t="s">
        <v>97</v>
      </c>
      <c r="B10" s="142"/>
      <c r="C10" s="143"/>
      <c r="D10" s="146" t="s">
        <v>351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96.75" customHeight="1">
      <c r="A12" s="172" t="s">
        <v>140</v>
      </c>
      <c r="B12" s="149"/>
      <c r="C12" s="172" t="s">
        <v>296</v>
      </c>
      <c r="D12" s="149"/>
      <c r="E12" s="172" t="s">
        <v>109</v>
      </c>
      <c r="F12" s="149"/>
      <c r="G12" s="172" t="s">
        <v>193</v>
      </c>
      <c r="H12" s="149"/>
      <c r="I12" s="172" t="s">
        <v>352</v>
      </c>
      <c r="J12" s="149"/>
      <c r="K12" s="172" t="s">
        <v>353</v>
      </c>
      <c r="L12" s="149"/>
      <c r="M12" s="174"/>
      <c r="N12" s="175" t="s">
        <v>354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Conformidad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28.5" customHeight="1">
      <c r="A15" s="107" t="s">
        <v>86</v>
      </c>
      <c r="B15" s="140"/>
      <c r="C15" s="163"/>
      <c r="D15" s="146" t="str">
        <f>Conformidad!A2</f>
        <v>Se requiere que la aplicación cumpla con las regulaciones de aviación civil vigentes en materia de registro de horas de vuelo, límites operacionales y documentación de la actividad del piloto.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355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356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>
      <c r="A19" s="105" t="s">
        <v>93</v>
      </c>
      <c r="B19" s="167"/>
      <c r="C19" s="168"/>
      <c r="D19" s="169" t="s">
        <v>357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>
      <c r="A20" s="102" t="s">
        <v>95</v>
      </c>
      <c r="B20" s="142"/>
      <c r="C20" s="143"/>
      <c r="D20" s="146" t="s">
        <v>358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>
      <c r="A21" s="102" t="s">
        <v>97</v>
      </c>
      <c r="B21" s="142"/>
      <c r="C21" s="143"/>
      <c r="D21" s="146" t="s">
        <v>359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139.5" customHeight="1">
      <c r="A23" s="172" t="s">
        <v>2</v>
      </c>
      <c r="B23" s="149"/>
      <c r="C23" s="172" t="s">
        <v>360</v>
      </c>
      <c r="D23" s="149"/>
      <c r="E23" s="172" t="s">
        <v>109</v>
      </c>
      <c r="F23" s="149"/>
      <c r="G23" s="172" t="s">
        <v>193</v>
      </c>
      <c r="H23" s="149"/>
      <c r="I23" s="172" t="s">
        <v>361</v>
      </c>
      <c r="J23" s="149"/>
      <c r="K23" s="172" t="s">
        <v>362</v>
      </c>
      <c r="L23" s="149"/>
      <c r="M23" s="174"/>
      <c r="N23" s="175" t="s">
        <v>363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Conformidad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31.5" customHeight="1">
      <c r="A26" s="107" t="s">
        <v>86</v>
      </c>
      <c r="B26" s="140"/>
      <c r="C26" s="163"/>
      <c r="D26" s="146" t="str">
        <f>Conformidad!A3</f>
        <v>Se requiere que los umbrales(limites) regulatorios (50h/15días, 90h/mes, 270h/trimestre, 1000h/año, 3 aterrizajes/90días) estén definidos como constantes en el código, facilitando su actualización ante cambios normativos.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347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364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>
      <c r="A30" s="105" t="s">
        <v>93</v>
      </c>
      <c r="B30" s="167"/>
      <c r="C30" s="168"/>
      <c r="D30" s="169" t="s">
        <v>365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31.5" customHeight="1">
      <c r="A31" s="102" t="s">
        <v>95</v>
      </c>
      <c r="B31" s="142"/>
      <c r="C31" s="143"/>
      <c r="D31" s="146" t="s">
        <v>366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>
      <c r="A32" s="102" t="s">
        <v>97</v>
      </c>
      <c r="B32" s="142"/>
      <c r="C32" s="143"/>
      <c r="D32" s="146" t="s">
        <v>367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99" customHeight="1">
      <c r="A34" s="172" t="s">
        <v>193</v>
      </c>
      <c r="B34" s="149"/>
      <c r="C34" s="172" t="s">
        <v>368</v>
      </c>
      <c r="D34" s="149"/>
      <c r="E34" s="172" t="s">
        <v>109</v>
      </c>
      <c r="F34" s="149"/>
      <c r="G34" s="172" t="s">
        <v>193</v>
      </c>
      <c r="H34" s="149"/>
      <c r="I34" s="172" t="s">
        <v>369</v>
      </c>
      <c r="J34" s="149"/>
      <c r="K34" s="172" t="s">
        <v>370</v>
      </c>
      <c r="L34" s="149"/>
      <c r="M34" s="174"/>
      <c r="N34" s="175" t="s">
        <v>371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Conformidad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31.5" customHeight="1">
      <c r="A37" s="107" t="s">
        <v>86</v>
      </c>
      <c r="B37" s="140"/>
      <c r="C37" s="163"/>
      <c r="D37" s="146" t="str">
        <f>Conformidad!A3</f>
        <v>Se requiere que los umbrales(limites) regulatorios (50h/15días, 90h/mes, 270h/trimestre, 1000h/año, 3 aterrizajes/90días) estén definidos como constantes en el código, facilitando su actualización ante cambios normativos.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372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373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>
      <c r="A41" s="105" t="s">
        <v>93</v>
      </c>
      <c r="B41" s="167"/>
      <c r="C41" s="168"/>
      <c r="D41" s="169" t="s">
        <v>374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34.5" customHeight="1">
      <c r="A42" s="102" t="s">
        <v>95</v>
      </c>
      <c r="B42" s="142"/>
      <c r="C42" s="143"/>
      <c r="D42" s="146" t="s">
        <v>375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>
      <c r="A43" s="102" t="s">
        <v>97</v>
      </c>
      <c r="B43" s="142"/>
      <c r="C43" s="143"/>
      <c r="D43" s="146" t="s">
        <v>376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159" customHeight="1">
      <c r="A45" s="172" t="s">
        <v>2</v>
      </c>
      <c r="B45" s="149"/>
      <c r="C45" s="172" t="s">
        <v>360</v>
      </c>
      <c r="D45" s="149"/>
      <c r="E45" s="172" t="s">
        <v>109</v>
      </c>
      <c r="F45" s="149"/>
      <c r="G45" s="172" t="s">
        <v>193</v>
      </c>
      <c r="H45" s="149"/>
      <c r="I45" s="172" t="s">
        <v>377</v>
      </c>
      <c r="J45" s="149"/>
      <c r="K45" s="172" t="s">
        <v>378</v>
      </c>
      <c r="L45" s="149"/>
      <c r="M45" s="174"/>
      <c r="N45" s="175" t="s">
        <v>379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Conformidad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20.25" customHeight="1">
      <c r="A48" s="107" t="s">
        <v>86</v>
      </c>
      <c r="B48" s="140"/>
      <c r="C48" s="163"/>
      <c r="D48" s="146" t="str">
        <f>Conformidad!A4</f>
        <v>Se requiere que la aplicación proteja los datos de los pilotos mediante autenticación JWT con cookies HttpOnly, cifrado de credenciales delegado a Keycloak, y validación de schemas JSON en cada endpoint.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380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381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 ht="15" customHeight="1">
      <c r="A52" s="105" t="s">
        <v>93</v>
      </c>
      <c r="B52" s="167"/>
      <c r="C52" s="168"/>
      <c r="D52" s="169" t="s">
        <v>382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</row>
    <row r="53" spans="1:15" ht="34.5" customHeight="1">
      <c r="A53" s="102" t="s">
        <v>95</v>
      </c>
      <c r="B53" s="142"/>
      <c r="C53" s="143"/>
      <c r="D53" s="146" t="s">
        <v>383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 ht="15" customHeight="1">
      <c r="A54" s="102" t="s">
        <v>97</v>
      </c>
      <c r="B54" s="142"/>
      <c r="C54" s="143"/>
      <c r="D54" s="146" t="s">
        <v>384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</row>
    <row r="56" spans="1:15" ht="75" customHeight="1">
      <c r="A56" s="172" t="s">
        <v>2</v>
      </c>
      <c r="B56" s="149"/>
      <c r="C56" s="172" t="s">
        <v>333</v>
      </c>
      <c r="D56" s="149"/>
      <c r="E56" s="172" t="s">
        <v>109</v>
      </c>
      <c r="F56" s="149"/>
      <c r="G56" s="172" t="s">
        <v>193</v>
      </c>
      <c r="H56" s="149"/>
      <c r="I56" s="172" t="s">
        <v>385</v>
      </c>
      <c r="J56" s="149"/>
      <c r="K56" s="172" t="s">
        <v>386</v>
      </c>
      <c r="L56" s="149"/>
      <c r="M56" s="174"/>
      <c r="N56" s="175" t="s">
        <v>387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Conformidad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 ht="40.5" customHeight="1">
      <c r="A59" s="107" t="s">
        <v>86</v>
      </c>
      <c r="B59" s="140"/>
      <c r="C59" s="163"/>
      <c r="D59" s="146" t="str">
        <f>Conformidad!A4</f>
        <v>Se requiere que la aplicación proteja los datos de los pilotos mediante autenticación JWT con cookies HttpOnly, cifrado de credenciales delegado a Keycloak, y validación de schemas JSON en cada endpoint.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388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389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>
      <c r="A63" s="105" t="s">
        <v>93</v>
      </c>
      <c r="B63" s="167"/>
      <c r="C63" s="168"/>
      <c r="D63" s="169" t="s">
        <v>390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</row>
    <row r="64" spans="1:15" ht="33.75" customHeight="1">
      <c r="A64" s="102" t="s">
        <v>95</v>
      </c>
      <c r="B64" s="142"/>
      <c r="C64" s="143"/>
      <c r="D64" s="146" t="s">
        <v>391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>
      <c r="A65" s="102" t="s">
        <v>97</v>
      </c>
      <c r="B65" s="142"/>
      <c r="C65" s="143"/>
      <c r="D65" s="146" t="s">
        <v>392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77.25" customHeight="1">
      <c r="A67" s="172" t="s">
        <v>2</v>
      </c>
      <c r="B67" s="149"/>
      <c r="C67" s="172" t="s">
        <v>393</v>
      </c>
      <c r="D67" s="149"/>
      <c r="E67" s="172" t="s">
        <v>109</v>
      </c>
      <c r="F67" s="149"/>
      <c r="G67" s="172" t="s">
        <v>193</v>
      </c>
      <c r="H67" s="149"/>
      <c r="I67" s="172" t="s">
        <v>394</v>
      </c>
      <c r="J67" s="149"/>
      <c r="K67" s="172" t="s">
        <v>395</v>
      </c>
      <c r="L67" s="149"/>
      <c r="M67" s="174"/>
      <c r="N67" s="175" t="s">
        <v>396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Conformidad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18" customHeight="1">
      <c r="A70" s="107" t="s">
        <v>86</v>
      </c>
      <c r="B70" s="140"/>
      <c r="C70" s="163"/>
      <c r="D70" s="146" t="str">
        <f>Conformidad!A5</f>
        <v>Se requiere que la aplicación presente mensajes claros al piloto sobre el propósito del registro de horas y la importancia de la precisión de los datos ingresados para el cumplimiento regulatorio.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397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398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>
      <c r="A74" s="105" t="s">
        <v>93</v>
      </c>
      <c r="B74" s="167"/>
      <c r="C74" s="168"/>
      <c r="D74" s="169" t="s">
        <v>399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/>
      <c r="O74" s="86"/>
    </row>
    <row r="75" spans="1:15" ht="31.5" customHeight="1">
      <c r="A75" s="102" t="s">
        <v>95</v>
      </c>
      <c r="B75" s="142"/>
      <c r="C75" s="143"/>
      <c r="D75" s="146" t="s">
        <v>400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36.75" customHeight="1">
      <c r="A76" s="102" t="s">
        <v>97</v>
      </c>
      <c r="B76" s="142"/>
      <c r="C76" s="143"/>
      <c r="D76" s="146" t="s">
        <v>401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 ht="30.75" customHeight="1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2" t="s">
        <v>106</v>
      </c>
      <c r="O77" s="86"/>
    </row>
    <row r="78" spans="1:15" ht="94.5" customHeight="1">
      <c r="A78" s="172" t="s">
        <v>2</v>
      </c>
      <c r="B78" s="149"/>
      <c r="C78" s="172" t="s">
        <v>402</v>
      </c>
      <c r="D78" s="149"/>
      <c r="E78" s="172" t="s">
        <v>109</v>
      </c>
      <c r="F78" s="149"/>
      <c r="G78" s="172" t="s">
        <v>193</v>
      </c>
      <c r="H78" s="149"/>
      <c r="I78" s="172" t="s">
        <v>403</v>
      </c>
      <c r="J78" s="149"/>
      <c r="K78" s="172" t="s">
        <v>404</v>
      </c>
      <c r="L78" s="149"/>
      <c r="M78" s="174"/>
      <c r="N78" s="175" t="s">
        <v>405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Conformidad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 ht="15" customHeight="1">
      <c r="A81" s="107" t="s">
        <v>86</v>
      </c>
      <c r="B81" s="140"/>
      <c r="C81" s="163"/>
      <c r="D81" s="146" t="str">
        <f>Conformidad!A5</f>
        <v>Se requiere que la aplicación presente mensajes claros al piloto sobre el propósito del registro de horas y la importancia de la precisión de los datos ingresados para el cumplimiento regulatorio.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406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104" t="s">
        <v>89</v>
      </c>
      <c r="B83" s="144"/>
      <c r="C83" s="166"/>
      <c r="D83" s="141" t="s">
        <v>407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104" t="s">
        <v>91</v>
      </c>
      <c r="B84" s="144"/>
      <c r="C84" s="166"/>
      <c r="D84" s="141" t="s">
        <v>116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 ht="17.25" customHeight="1">
      <c r="A85" s="105" t="s">
        <v>93</v>
      </c>
      <c r="B85" s="167"/>
      <c r="C85" s="168"/>
      <c r="D85" s="169" t="s">
        <v>408</v>
      </c>
      <c r="E85" s="170"/>
      <c r="F85" s="170"/>
      <c r="G85" s="170"/>
      <c r="H85" s="170"/>
      <c r="I85" s="170"/>
      <c r="J85" s="170"/>
      <c r="K85" s="170"/>
      <c r="L85" s="170"/>
      <c r="M85" s="170"/>
      <c r="N85" s="171"/>
      <c r="O85" s="86"/>
    </row>
    <row r="86" spans="1:15" ht="29.25" customHeight="1">
      <c r="A86" s="102" t="s">
        <v>95</v>
      </c>
      <c r="B86" s="142"/>
      <c r="C86" s="143"/>
      <c r="D86" s="146" t="s">
        <v>409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3"/>
      <c r="O86" s="86"/>
    </row>
    <row r="87" spans="1:15" ht="31.5" customHeight="1">
      <c r="A87" s="102" t="s">
        <v>97</v>
      </c>
      <c r="B87" s="142"/>
      <c r="C87" s="143"/>
      <c r="D87" s="146" t="s">
        <v>410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 ht="23.25" customHeight="1">
      <c r="A88" s="103" t="s">
        <v>99</v>
      </c>
      <c r="B88" s="147"/>
      <c r="C88" s="103" t="s">
        <v>100</v>
      </c>
      <c r="D88" s="147"/>
      <c r="E88" s="103" t="s">
        <v>101</v>
      </c>
      <c r="F88" s="147"/>
      <c r="G88" s="103" t="s">
        <v>102</v>
      </c>
      <c r="H88" s="147"/>
      <c r="I88" s="103" t="s">
        <v>103</v>
      </c>
      <c r="J88" s="147"/>
      <c r="K88" s="103" t="s">
        <v>104</v>
      </c>
      <c r="L88" s="147"/>
      <c r="M88" s="61" t="s">
        <v>105</v>
      </c>
      <c r="N88" s="62" t="s">
        <v>106</v>
      </c>
      <c r="O88" s="86"/>
    </row>
    <row r="89" spans="1:15" ht="107.25" customHeight="1">
      <c r="A89" s="172" t="s">
        <v>2</v>
      </c>
      <c r="B89" s="149"/>
      <c r="C89" s="172" t="s">
        <v>411</v>
      </c>
      <c r="D89" s="149"/>
      <c r="E89" s="172" t="s">
        <v>109</v>
      </c>
      <c r="F89" s="149"/>
      <c r="G89" s="172" t="s">
        <v>193</v>
      </c>
      <c r="H89" s="149"/>
      <c r="I89" s="172" t="s">
        <v>412</v>
      </c>
      <c r="J89" s="149"/>
      <c r="K89" s="172" t="s">
        <v>413</v>
      </c>
      <c r="L89" s="149"/>
      <c r="M89" s="174"/>
      <c r="N89" s="175" t="s">
        <v>414</v>
      </c>
      <c r="O89" s="86"/>
    </row>
  </sheetData>
  <mergeCells count="224">
    <mergeCell ref="D10:N10"/>
    <mergeCell ref="K11:L11"/>
    <mergeCell ref="C12:D12"/>
    <mergeCell ref="A12:B12"/>
    <mergeCell ref="A10:C10"/>
    <mergeCell ref="I12:J12"/>
    <mergeCell ref="K12:L12"/>
    <mergeCell ref="E12:F12"/>
    <mergeCell ref="G12:H12"/>
    <mergeCell ref="A11:B11"/>
    <mergeCell ref="G11:H11"/>
    <mergeCell ref="I11:J11"/>
    <mergeCell ref="C11:D11"/>
    <mergeCell ref="E11:F11"/>
    <mergeCell ref="A9:C9"/>
    <mergeCell ref="D8:N8"/>
    <mergeCell ref="A3:C3"/>
    <mergeCell ref="A5:C5"/>
    <mergeCell ref="A4:C4"/>
    <mergeCell ref="D9:N9"/>
    <mergeCell ref="A7:C7"/>
    <mergeCell ref="D3:N3"/>
    <mergeCell ref="D5:N5"/>
    <mergeCell ref="A8:C8"/>
    <mergeCell ref="D6:N6"/>
    <mergeCell ref="D7:N7"/>
    <mergeCell ref="D4:N4"/>
    <mergeCell ref="A6:C6"/>
    <mergeCell ref="A17:C17"/>
    <mergeCell ref="D17:N17"/>
    <mergeCell ref="A18:C18"/>
    <mergeCell ref="D18:N18"/>
    <mergeCell ref="A19:C19"/>
    <mergeCell ref="D19:N19"/>
    <mergeCell ref="A14:C14"/>
    <mergeCell ref="D14:N14"/>
    <mergeCell ref="A15:C15"/>
    <mergeCell ref="D15:N15"/>
    <mergeCell ref="A16:C16"/>
    <mergeCell ref="D16:N16"/>
    <mergeCell ref="A20:C20"/>
    <mergeCell ref="D20:N20"/>
    <mergeCell ref="A21:C21"/>
    <mergeCell ref="D21:N21"/>
    <mergeCell ref="A22:B22"/>
    <mergeCell ref="C22:D22"/>
    <mergeCell ref="E22:F22"/>
    <mergeCell ref="G22:H22"/>
    <mergeCell ref="I22:J22"/>
    <mergeCell ref="K22:L22"/>
    <mergeCell ref="K23:L23"/>
    <mergeCell ref="A25:C25"/>
    <mergeCell ref="D25:N25"/>
    <mergeCell ref="A26:C26"/>
    <mergeCell ref="D26:N26"/>
    <mergeCell ref="A23:B23"/>
    <mergeCell ref="C23:D23"/>
    <mergeCell ref="E23:F23"/>
    <mergeCell ref="G23:H23"/>
    <mergeCell ref="I23:J23"/>
    <mergeCell ref="A30:C30"/>
    <mergeCell ref="D30:N30"/>
    <mergeCell ref="A31:C31"/>
    <mergeCell ref="D31:N31"/>
    <mergeCell ref="A32:C32"/>
    <mergeCell ref="D32:N32"/>
    <mergeCell ref="A27:C27"/>
    <mergeCell ref="D27:N27"/>
    <mergeCell ref="A28:C28"/>
    <mergeCell ref="D28:N28"/>
    <mergeCell ref="A29:C29"/>
    <mergeCell ref="D29:N29"/>
    <mergeCell ref="K33:L33"/>
    <mergeCell ref="A34:B34"/>
    <mergeCell ref="C34:D34"/>
    <mergeCell ref="E34:F34"/>
    <mergeCell ref="G34:H34"/>
    <mergeCell ref="I34:J34"/>
    <mergeCell ref="K34:L34"/>
    <mergeCell ref="A33:B33"/>
    <mergeCell ref="C33:D33"/>
    <mergeCell ref="E33:F33"/>
    <mergeCell ref="G33:H33"/>
    <mergeCell ref="I33:J33"/>
    <mergeCell ref="A39:C39"/>
    <mergeCell ref="D39:N39"/>
    <mergeCell ref="A40:C40"/>
    <mergeCell ref="D40:N40"/>
    <mergeCell ref="A41:C41"/>
    <mergeCell ref="D41:N41"/>
    <mergeCell ref="A36:C36"/>
    <mergeCell ref="D36:N36"/>
    <mergeCell ref="A37:C37"/>
    <mergeCell ref="D37:N37"/>
    <mergeCell ref="A38:C38"/>
    <mergeCell ref="D38:N38"/>
    <mergeCell ref="A42:C42"/>
    <mergeCell ref="D42:N42"/>
    <mergeCell ref="A43:C43"/>
    <mergeCell ref="D43:N43"/>
    <mergeCell ref="A44:B44"/>
    <mergeCell ref="C44:D44"/>
    <mergeCell ref="E44:F44"/>
    <mergeCell ref="G44:H44"/>
    <mergeCell ref="I44:J44"/>
    <mergeCell ref="K44:L44"/>
    <mergeCell ref="K45:L45"/>
    <mergeCell ref="A47:C47"/>
    <mergeCell ref="D47:N47"/>
    <mergeCell ref="A48:C48"/>
    <mergeCell ref="D48:N48"/>
    <mergeCell ref="A45:B45"/>
    <mergeCell ref="C45:D45"/>
    <mergeCell ref="E45:F45"/>
    <mergeCell ref="G45:H45"/>
    <mergeCell ref="I45:J45"/>
    <mergeCell ref="A52:C52"/>
    <mergeCell ref="D52:N52"/>
    <mergeCell ref="A53:C53"/>
    <mergeCell ref="D53:N53"/>
    <mergeCell ref="A54:C54"/>
    <mergeCell ref="D54:N54"/>
    <mergeCell ref="A49:C49"/>
    <mergeCell ref="D49:N49"/>
    <mergeCell ref="A50:C50"/>
    <mergeCell ref="D50:N50"/>
    <mergeCell ref="A51:C51"/>
    <mergeCell ref="D51:N51"/>
    <mergeCell ref="K55:L55"/>
    <mergeCell ref="A56:B56"/>
    <mergeCell ref="C56:D56"/>
    <mergeCell ref="E56:F56"/>
    <mergeCell ref="G56:H56"/>
    <mergeCell ref="I56:J56"/>
    <mergeCell ref="K56:L56"/>
    <mergeCell ref="A55:B55"/>
    <mergeCell ref="C55:D55"/>
    <mergeCell ref="E55:F55"/>
    <mergeCell ref="G55:H55"/>
    <mergeCell ref="I55:J55"/>
    <mergeCell ref="A61:C61"/>
    <mergeCell ref="D61:N61"/>
    <mergeCell ref="A62:C62"/>
    <mergeCell ref="D62:N62"/>
    <mergeCell ref="A63:C63"/>
    <mergeCell ref="D63:N63"/>
    <mergeCell ref="A58:C58"/>
    <mergeCell ref="D58:N58"/>
    <mergeCell ref="A59:C59"/>
    <mergeCell ref="D59:N59"/>
    <mergeCell ref="A60:C60"/>
    <mergeCell ref="D60:N60"/>
    <mergeCell ref="A64:C64"/>
    <mergeCell ref="D64:N64"/>
    <mergeCell ref="A65:C65"/>
    <mergeCell ref="D65:N65"/>
    <mergeCell ref="A66:B66"/>
    <mergeCell ref="C66:D66"/>
    <mergeCell ref="E66:F66"/>
    <mergeCell ref="G66:H66"/>
    <mergeCell ref="I66:J66"/>
    <mergeCell ref="K66:L66"/>
    <mergeCell ref="K67:L67"/>
    <mergeCell ref="A69:C69"/>
    <mergeCell ref="D69:N69"/>
    <mergeCell ref="A70:C70"/>
    <mergeCell ref="D70:N70"/>
    <mergeCell ref="A67:B67"/>
    <mergeCell ref="C67:D67"/>
    <mergeCell ref="E67:F67"/>
    <mergeCell ref="G67:H67"/>
    <mergeCell ref="I67:J67"/>
    <mergeCell ref="A74:C74"/>
    <mergeCell ref="D74:N74"/>
    <mergeCell ref="A75:C75"/>
    <mergeCell ref="D75:N75"/>
    <mergeCell ref="A76:C76"/>
    <mergeCell ref="D76:N76"/>
    <mergeCell ref="A71:C71"/>
    <mergeCell ref="D71:N71"/>
    <mergeCell ref="A72:C72"/>
    <mergeCell ref="D72:N72"/>
    <mergeCell ref="A73:C73"/>
    <mergeCell ref="D73:N73"/>
    <mergeCell ref="K77:L77"/>
    <mergeCell ref="A78:B78"/>
    <mergeCell ref="C78:D78"/>
    <mergeCell ref="E78:F78"/>
    <mergeCell ref="G78:H78"/>
    <mergeCell ref="I78:J78"/>
    <mergeCell ref="K78:L78"/>
    <mergeCell ref="A77:B77"/>
    <mergeCell ref="C77:D77"/>
    <mergeCell ref="E77:F77"/>
    <mergeCell ref="G77:H77"/>
    <mergeCell ref="I77:J77"/>
    <mergeCell ref="A83:C83"/>
    <mergeCell ref="D83:N83"/>
    <mergeCell ref="A84:C84"/>
    <mergeCell ref="D84:N84"/>
    <mergeCell ref="A85:C85"/>
    <mergeCell ref="D85:N85"/>
    <mergeCell ref="A80:C80"/>
    <mergeCell ref="D80:N80"/>
    <mergeCell ref="A81:C81"/>
    <mergeCell ref="D81:N81"/>
    <mergeCell ref="A82:C82"/>
    <mergeCell ref="D82:N82"/>
    <mergeCell ref="K89:L89"/>
    <mergeCell ref="A89:B89"/>
    <mergeCell ref="C89:D89"/>
    <mergeCell ref="E89:F89"/>
    <mergeCell ref="G89:H89"/>
    <mergeCell ref="I89:J89"/>
    <mergeCell ref="A86:C86"/>
    <mergeCell ref="D86:N86"/>
    <mergeCell ref="A87:C87"/>
    <mergeCell ref="D87:N87"/>
    <mergeCell ref="A88:B88"/>
    <mergeCell ref="C88:D88"/>
    <mergeCell ref="E88:F88"/>
    <mergeCell ref="G88:H88"/>
    <mergeCell ref="I88:J88"/>
    <mergeCell ref="K88:L88"/>
  </mergeCells>
  <hyperlinks>
    <hyperlink ref="A1" location="'Conformidad'!B1" display="Conformidad" xr:uid="{00000000-0004-0000-13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tabColor theme="9" tint="0.59999389629810485"/>
  </sheetPr>
  <dimension ref="A1:O111"/>
  <sheetViews>
    <sheetView topLeftCell="M104" workbookViewId="0">
      <selection activeCell="N111" sqref="N111"/>
    </sheetView>
  </sheetViews>
  <sheetFormatPr defaultColWidth="11.42578125" defaultRowHeight="15"/>
  <cols>
    <col min="1" max="8" width="11.42578125" style="59" customWidth="1"/>
    <col min="9" max="11" width="20.7109375" style="59" customWidth="1"/>
    <col min="12" max="12" width="24.85546875" style="59" customWidth="1"/>
    <col min="13" max="13" width="11.42578125" style="59" customWidth="1"/>
    <col min="14" max="14" width="61.5703125" style="59" customWidth="1"/>
    <col min="15" max="16384" width="11.42578125" style="59"/>
  </cols>
  <sheetData>
    <row r="1" spans="1:15">
      <c r="A1" s="58" t="s">
        <v>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Disponibilidad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15" customHeight="1">
      <c r="A4" s="107" t="s">
        <v>86</v>
      </c>
      <c r="B4" s="140"/>
      <c r="C4" s="163"/>
      <c r="D4" s="146" t="str">
        <f>Disponibilidad!A2</f>
        <v>Se requiere que la aplicación pueda ejecutarse sin interrupciones durante eventos críticos o de alta demanda.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415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416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>
      <c r="A8" s="105" t="s">
        <v>93</v>
      </c>
      <c r="B8" s="167"/>
      <c r="C8" s="168"/>
      <c r="D8" s="169" t="s">
        <v>417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15.75" customHeight="1">
      <c r="A9" s="102" t="s">
        <v>95</v>
      </c>
      <c r="B9" s="142"/>
      <c r="C9" s="143"/>
      <c r="D9" s="146" t="s">
        <v>418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20.25" customHeight="1">
      <c r="A10" s="102" t="s">
        <v>97</v>
      </c>
      <c r="B10" s="142"/>
      <c r="C10" s="143"/>
      <c r="D10" s="146" t="s">
        <v>419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64.5" customHeight="1">
      <c r="A12" s="172" t="s">
        <v>2</v>
      </c>
      <c r="B12" s="149"/>
      <c r="C12" s="172" t="s">
        <v>420</v>
      </c>
      <c r="D12" s="149"/>
      <c r="E12" s="172" t="s">
        <v>109</v>
      </c>
      <c r="F12" s="149"/>
      <c r="G12" s="172" t="s">
        <v>110</v>
      </c>
      <c r="H12" s="149"/>
      <c r="I12" s="172" t="s">
        <v>421</v>
      </c>
      <c r="J12" s="149"/>
      <c r="K12" s="172" t="s">
        <v>422</v>
      </c>
      <c r="L12" s="149"/>
      <c r="M12" s="174"/>
      <c r="N12" s="175" t="s">
        <v>423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Disponibilidad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18.75" customHeight="1">
      <c r="A15" s="107" t="s">
        <v>86</v>
      </c>
      <c r="B15" s="140"/>
      <c r="C15" s="163"/>
      <c r="D15" s="146" t="str">
        <f>Disponibilidad!A2</f>
        <v>Se requiere que la aplicación pueda ejecutarse sin interrupciones durante eventos críticos o de alta demanda.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424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425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>
      <c r="A19" s="105" t="s">
        <v>93</v>
      </c>
      <c r="B19" s="167"/>
      <c r="C19" s="168"/>
      <c r="D19" s="169" t="s">
        <v>426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 ht="19.5" customHeight="1">
      <c r="A20" s="102" t="s">
        <v>95</v>
      </c>
      <c r="B20" s="142"/>
      <c r="C20" s="143"/>
      <c r="D20" s="146" t="s">
        <v>427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36.75" customHeight="1">
      <c r="A21" s="102" t="s">
        <v>97</v>
      </c>
      <c r="B21" s="142"/>
      <c r="C21" s="143"/>
      <c r="D21" s="146" t="s">
        <v>428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76.5" customHeight="1">
      <c r="A23" s="172" t="s">
        <v>313</v>
      </c>
      <c r="B23" s="149"/>
      <c r="C23" s="172" t="s">
        <v>429</v>
      </c>
      <c r="D23" s="149"/>
      <c r="E23" s="172" t="s">
        <v>430</v>
      </c>
      <c r="F23" s="149"/>
      <c r="G23" s="172" t="s">
        <v>110</v>
      </c>
      <c r="H23" s="149"/>
      <c r="I23" s="172" t="s">
        <v>431</v>
      </c>
      <c r="J23" s="149"/>
      <c r="K23" s="172" t="s">
        <v>432</v>
      </c>
      <c r="L23" s="149"/>
      <c r="M23" s="174"/>
      <c r="N23" s="175" t="s">
        <v>433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Disponibilidad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19.5" customHeight="1">
      <c r="A26" s="107" t="s">
        <v>86</v>
      </c>
      <c r="B26" s="140"/>
      <c r="C26" s="163"/>
      <c r="D26" s="146" t="str">
        <f>Disponibilidad!A3</f>
        <v>Se requiere que la base de datos MySQL permita realizar copias de seguridad de la información de vuelos y pilotos sin interrumpir la operación de la aplicación.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434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435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>
      <c r="A30" s="105" t="s">
        <v>93</v>
      </c>
      <c r="B30" s="167"/>
      <c r="C30" s="168"/>
      <c r="D30" s="169" t="s">
        <v>436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23.25" customHeight="1">
      <c r="A31" s="102" t="s">
        <v>95</v>
      </c>
      <c r="B31" s="142"/>
      <c r="C31" s="143"/>
      <c r="D31" s="146" t="s">
        <v>437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>
      <c r="A32" s="102" t="s">
        <v>97</v>
      </c>
      <c r="B32" s="142"/>
      <c r="C32" s="143"/>
      <c r="D32" s="146" t="s">
        <v>438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75.75" customHeight="1">
      <c r="A34" s="172" t="s">
        <v>2</v>
      </c>
      <c r="B34" s="149"/>
      <c r="C34" s="172" t="s">
        <v>439</v>
      </c>
      <c r="D34" s="149"/>
      <c r="E34" s="172" t="s">
        <v>109</v>
      </c>
      <c r="F34" s="149"/>
      <c r="G34" s="172" t="s">
        <v>110</v>
      </c>
      <c r="H34" s="149"/>
      <c r="I34" s="172" t="s">
        <v>440</v>
      </c>
      <c r="J34" s="149"/>
      <c r="K34" s="172" t="s">
        <v>441</v>
      </c>
      <c r="L34" s="149"/>
      <c r="M34" s="174"/>
      <c r="N34" s="175" t="s">
        <v>442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Disponibilidad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18.75" customHeight="1">
      <c r="A37" s="107" t="s">
        <v>86</v>
      </c>
      <c r="B37" s="140"/>
      <c r="C37" s="163"/>
      <c r="D37" s="146" t="str">
        <f>Disponibilidad!A3</f>
        <v>Se requiere que la base de datos MySQL permita realizar copias de seguridad de la información de vuelos y pilotos sin interrumpir la operación de la aplicación.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443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425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>
      <c r="A41" s="105" t="s">
        <v>93</v>
      </c>
      <c r="B41" s="167"/>
      <c r="C41" s="168"/>
      <c r="D41" s="169" t="s">
        <v>444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30.75" customHeight="1">
      <c r="A42" s="102" t="s">
        <v>95</v>
      </c>
      <c r="B42" s="142"/>
      <c r="C42" s="143"/>
      <c r="D42" s="146" t="s">
        <v>445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>
      <c r="A43" s="102" t="s">
        <v>97</v>
      </c>
      <c r="B43" s="142"/>
      <c r="C43" s="143"/>
      <c r="D43" s="146" t="s">
        <v>446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77.25" customHeight="1">
      <c r="A45" s="172" t="s">
        <v>7</v>
      </c>
      <c r="B45" s="149"/>
      <c r="C45" s="172" t="s">
        <v>447</v>
      </c>
      <c r="D45" s="149"/>
      <c r="E45" s="172" t="s">
        <v>430</v>
      </c>
      <c r="F45" s="149"/>
      <c r="G45" s="172" t="s">
        <v>110</v>
      </c>
      <c r="H45" s="149"/>
      <c r="I45" s="172" t="s">
        <v>305</v>
      </c>
      <c r="J45" s="149"/>
      <c r="K45" s="172" t="s">
        <v>448</v>
      </c>
      <c r="L45" s="149"/>
      <c r="M45" s="174"/>
      <c r="N45" s="175" t="s">
        <v>449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Disponibilidad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20.25" customHeight="1">
      <c r="A48" s="107" t="s">
        <v>86</v>
      </c>
      <c r="B48" s="140"/>
      <c r="C48" s="163"/>
      <c r="D48" s="146" t="str">
        <f>Disponibilidad!A4</f>
        <v>Se requiere que la aplicación cuente con endpoints de monitoreo (/health) y métricas (Prometheus) que permitan supervisar el estado del servicio en todo momento.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450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451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>
      <c r="A52" s="105" t="s">
        <v>93</v>
      </c>
      <c r="B52" s="167"/>
      <c r="C52" s="168"/>
      <c r="D52" s="169" t="s">
        <v>452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</row>
    <row r="53" spans="1:15" ht="18.75" customHeight="1">
      <c r="A53" s="102" t="s">
        <v>95</v>
      </c>
      <c r="B53" s="142"/>
      <c r="C53" s="143"/>
      <c r="D53" s="146" t="s">
        <v>453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>
      <c r="A54" s="102" t="s">
        <v>97</v>
      </c>
      <c r="B54" s="142"/>
      <c r="C54" s="143"/>
      <c r="D54" s="146" t="s">
        <v>454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</row>
    <row r="56" spans="1:15" ht="72" customHeight="1">
      <c r="A56" s="172" t="s">
        <v>455</v>
      </c>
      <c r="B56" s="149"/>
      <c r="C56" s="172" t="s">
        <v>456</v>
      </c>
      <c r="D56" s="149"/>
      <c r="E56" s="172" t="s">
        <v>109</v>
      </c>
      <c r="F56" s="149"/>
      <c r="G56" s="172" t="s">
        <v>110</v>
      </c>
      <c r="H56" s="149"/>
      <c r="I56" s="172" t="s">
        <v>457</v>
      </c>
      <c r="J56" s="149"/>
      <c r="K56" s="172" t="s">
        <v>458</v>
      </c>
      <c r="L56" s="149"/>
      <c r="M56" s="174"/>
      <c r="N56" s="175" t="s">
        <v>459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Disponibilidad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 ht="28.5" customHeight="1">
      <c r="A59" s="107" t="s">
        <v>86</v>
      </c>
      <c r="B59" s="140"/>
      <c r="C59" s="163"/>
      <c r="D59" s="146" t="str">
        <f>Disponibilidad!A4</f>
        <v>Se requiere que la aplicación cuente con endpoints de monitoreo (/health) y métricas (Prometheus) que permitan supervisar el estado del servicio en todo momento.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460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461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>
      <c r="A63" s="105" t="s">
        <v>93</v>
      </c>
      <c r="B63" s="167"/>
      <c r="C63" s="168"/>
      <c r="D63" s="169" t="s">
        <v>462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</row>
    <row r="64" spans="1:15" ht="30.75" customHeight="1">
      <c r="A64" s="102" t="s">
        <v>95</v>
      </c>
      <c r="B64" s="142"/>
      <c r="C64" s="143"/>
      <c r="D64" s="146" t="s">
        <v>463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>
      <c r="A65" s="102" t="s">
        <v>97</v>
      </c>
      <c r="B65" s="142"/>
      <c r="C65" s="143"/>
      <c r="D65" s="146" t="s">
        <v>464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80.25" customHeight="1">
      <c r="A67" s="172" t="s">
        <v>7</v>
      </c>
      <c r="B67" s="149"/>
      <c r="C67" s="172" t="s">
        <v>465</v>
      </c>
      <c r="D67" s="149"/>
      <c r="E67" s="172" t="s">
        <v>430</v>
      </c>
      <c r="F67" s="149"/>
      <c r="G67" s="172" t="s">
        <v>110</v>
      </c>
      <c r="H67" s="149"/>
      <c r="I67" s="172" t="s">
        <v>466</v>
      </c>
      <c r="J67" s="149"/>
      <c r="K67" s="172" t="s">
        <v>467</v>
      </c>
      <c r="L67" s="149"/>
      <c r="M67" s="174"/>
      <c r="N67" s="175" t="s">
        <v>468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Disponibilidad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>
      <c r="A70" s="107" t="s">
        <v>86</v>
      </c>
      <c r="B70" s="140"/>
      <c r="C70" s="163"/>
      <c r="D70" s="146" t="str">
        <f>Disponibilidad!A5</f>
        <v>Se requiere que la aplicación pueda ser restaurada rápidamente en caso de caída, mediante contenedores Docker y scripts de despliegue automatizado.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469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470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>
      <c r="A74" s="105" t="s">
        <v>93</v>
      </c>
      <c r="B74" s="167"/>
      <c r="C74" s="168"/>
      <c r="D74" s="169" t="s">
        <v>471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/>
      <c r="O74" s="86"/>
    </row>
    <row r="75" spans="1:15" ht="30.75" customHeight="1">
      <c r="A75" s="102" t="s">
        <v>95</v>
      </c>
      <c r="B75" s="142"/>
      <c r="C75" s="143"/>
      <c r="D75" s="146" t="s">
        <v>472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>
      <c r="A76" s="102" t="s">
        <v>97</v>
      </c>
      <c r="B76" s="142"/>
      <c r="C76" s="143"/>
      <c r="D76" s="146" t="s">
        <v>473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 ht="30.75" customHeight="1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2" t="s">
        <v>106</v>
      </c>
      <c r="O77" s="86"/>
    </row>
    <row r="78" spans="1:15" ht="90.75" customHeight="1">
      <c r="A78" s="172" t="s">
        <v>7</v>
      </c>
      <c r="B78" s="149"/>
      <c r="C78" s="172" t="s">
        <v>474</v>
      </c>
      <c r="D78" s="149"/>
      <c r="E78" s="172" t="s">
        <v>109</v>
      </c>
      <c r="F78" s="149"/>
      <c r="G78" s="172" t="s">
        <v>110</v>
      </c>
      <c r="H78" s="149"/>
      <c r="I78" s="172" t="s">
        <v>475</v>
      </c>
      <c r="J78" s="149"/>
      <c r="K78" s="172" t="s">
        <v>476</v>
      </c>
      <c r="L78" s="149"/>
      <c r="M78" s="174"/>
      <c r="N78" s="175" t="s">
        <v>477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Disponibilidad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>
      <c r="A81" s="107" t="s">
        <v>86</v>
      </c>
      <c r="B81" s="140"/>
      <c r="C81" s="163"/>
      <c r="D81" s="146" t="str">
        <f>Disponibilidad!A5</f>
        <v>Se requiere que la aplicación pueda ser restaurada rápidamente en caso de caída, mediante contenedores Docker y scripts de despliegue automatizado.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478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105" t="s">
        <v>89</v>
      </c>
      <c r="B83" s="167"/>
      <c r="C83" s="168"/>
      <c r="D83" s="176" t="s">
        <v>479</v>
      </c>
      <c r="E83" s="170"/>
      <c r="F83" s="170"/>
      <c r="G83" s="170"/>
      <c r="H83" s="170"/>
      <c r="I83" s="170"/>
      <c r="J83" s="170"/>
      <c r="K83" s="170"/>
      <c r="L83" s="170"/>
      <c r="M83" s="170"/>
      <c r="N83" s="171"/>
      <c r="O83" s="86"/>
    </row>
    <row r="84" spans="1:15">
      <c r="A84" s="102" t="s">
        <v>91</v>
      </c>
      <c r="B84" s="177"/>
      <c r="C84" s="177"/>
      <c r="D84" s="141" t="s">
        <v>116</v>
      </c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86"/>
    </row>
    <row r="85" spans="1:15">
      <c r="A85" s="108" t="s">
        <v>93</v>
      </c>
      <c r="B85" s="137"/>
      <c r="C85" s="137"/>
      <c r="D85" s="178" t="s">
        <v>480</v>
      </c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86"/>
    </row>
    <row r="86" spans="1:15" ht="30" customHeight="1">
      <c r="A86" s="108" t="s">
        <v>95</v>
      </c>
      <c r="B86" s="179"/>
      <c r="C86" s="180"/>
      <c r="D86" s="178" t="s">
        <v>481</v>
      </c>
      <c r="E86" s="179"/>
      <c r="F86" s="179"/>
      <c r="G86" s="179"/>
      <c r="H86" s="179"/>
      <c r="I86" s="179"/>
      <c r="J86" s="179"/>
      <c r="K86" s="179"/>
      <c r="L86" s="179"/>
      <c r="M86" s="179"/>
      <c r="N86" s="180"/>
      <c r="O86" s="86"/>
    </row>
    <row r="87" spans="1:15" ht="30" customHeight="1">
      <c r="A87" s="102" t="s">
        <v>97</v>
      </c>
      <c r="B87" s="142"/>
      <c r="C87" s="143"/>
      <c r="D87" s="146" t="s">
        <v>482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 ht="30.75" customHeight="1">
      <c r="A88" s="103" t="s">
        <v>99</v>
      </c>
      <c r="B88" s="147"/>
      <c r="C88" s="103" t="s">
        <v>100</v>
      </c>
      <c r="D88" s="147"/>
      <c r="E88" s="103" t="s">
        <v>101</v>
      </c>
      <c r="F88" s="147"/>
      <c r="G88" s="103" t="s">
        <v>102</v>
      </c>
      <c r="H88" s="147"/>
      <c r="I88" s="103" t="s">
        <v>103</v>
      </c>
      <c r="J88" s="147"/>
      <c r="K88" s="103" t="s">
        <v>104</v>
      </c>
      <c r="L88" s="147"/>
      <c r="M88" s="61" t="s">
        <v>105</v>
      </c>
      <c r="N88" s="62" t="s">
        <v>106</v>
      </c>
      <c r="O88" s="86"/>
    </row>
    <row r="89" spans="1:15" ht="76.5" customHeight="1">
      <c r="A89" s="172" t="s">
        <v>2</v>
      </c>
      <c r="B89" s="149"/>
      <c r="C89" s="172" t="s">
        <v>483</v>
      </c>
      <c r="D89" s="149"/>
      <c r="E89" s="172" t="s">
        <v>430</v>
      </c>
      <c r="F89" s="149"/>
      <c r="G89" s="172" t="s">
        <v>110</v>
      </c>
      <c r="H89" s="149"/>
      <c r="I89" s="172" t="s">
        <v>484</v>
      </c>
      <c r="J89" s="149"/>
      <c r="K89" s="172" t="s">
        <v>336</v>
      </c>
      <c r="L89" s="149"/>
      <c r="M89" s="174"/>
      <c r="N89" s="175" t="s">
        <v>485</v>
      </c>
      <c r="O89" s="86"/>
    </row>
    <row r="90" spans="1:1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>
      <c r="A91" s="106" t="s">
        <v>85</v>
      </c>
      <c r="B91" s="160"/>
      <c r="C91" s="161"/>
      <c r="D91" s="141" t="str">
        <f>$A$1</f>
        <v>Disponibilidad</v>
      </c>
      <c r="E91" s="142"/>
      <c r="F91" s="142"/>
      <c r="G91" s="142"/>
      <c r="H91" s="142"/>
      <c r="I91" s="142"/>
      <c r="J91" s="142"/>
      <c r="K91" s="142"/>
      <c r="L91" s="142"/>
      <c r="M91" s="142"/>
      <c r="N91" s="143"/>
      <c r="O91" s="86"/>
    </row>
    <row r="92" spans="1:15">
      <c r="A92" s="107" t="s">
        <v>86</v>
      </c>
      <c r="B92" s="140"/>
      <c r="C92" s="163"/>
      <c r="D92" s="146" t="str">
        <f>Disponibilidad!A6</f>
        <v>Se requiere que la aplicación informe al piloto de manera clara cuando el servicio no esté disponible, mostrando mensajes de error descriptivos y permitiendo reintentar la operación.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04" t="s">
        <v>87</v>
      </c>
      <c r="B93" s="144"/>
      <c r="C93" s="166"/>
      <c r="D93" s="141" t="s">
        <v>486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>
      <c r="A94" s="104" t="s">
        <v>89</v>
      </c>
      <c r="B94" s="144"/>
      <c r="C94" s="166"/>
      <c r="D94" s="141" t="s">
        <v>479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104" t="s">
        <v>91</v>
      </c>
      <c r="B95" s="144"/>
      <c r="C95" s="166"/>
      <c r="D95" s="141" t="s">
        <v>92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>
      <c r="A96" s="105" t="s">
        <v>93</v>
      </c>
      <c r="B96" s="167"/>
      <c r="C96" s="168"/>
      <c r="D96" s="169" t="s">
        <v>480</v>
      </c>
      <c r="E96" s="170"/>
      <c r="F96" s="170"/>
      <c r="G96" s="170"/>
      <c r="H96" s="170"/>
      <c r="I96" s="170"/>
      <c r="J96" s="170"/>
      <c r="K96" s="170"/>
      <c r="L96" s="170"/>
      <c r="M96" s="170"/>
      <c r="N96" s="171"/>
      <c r="O96" s="86"/>
    </row>
    <row r="97" spans="1:15" ht="31.5" customHeight="1">
      <c r="A97" s="102" t="s">
        <v>95</v>
      </c>
      <c r="B97" s="142"/>
      <c r="C97" s="143"/>
      <c r="D97" s="146" t="s">
        <v>481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3"/>
      <c r="O97" s="86"/>
    </row>
    <row r="98" spans="1:15">
      <c r="A98" s="102" t="s">
        <v>97</v>
      </c>
      <c r="B98" s="142"/>
      <c r="C98" s="143"/>
      <c r="D98" s="146" t="s">
        <v>482</v>
      </c>
      <c r="E98" s="142"/>
      <c r="F98" s="142"/>
      <c r="G98" s="142"/>
      <c r="H98" s="142"/>
      <c r="I98" s="142"/>
      <c r="J98" s="142"/>
      <c r="K98" s="142"/>
      <c r="L98" s="142"/>
      <c r="M98" s="142"/>
      <c r="N98" s="143"/>
      <c r="O98" s="86"/>
    </row>
    <row r="99" spans="1:15" ht="30.75" customHeight="1">
      <c r="A99" s="103" t="s">
        <v>99</v>
      </c>
      <c r="B99" s="147"/>
      <c r="C99" s="103" t="s">
        <v>100</v>
      </c>
      <c r="D99" s="147"/>
      <c r="E99" s="103" t="s">
        <v>101</v>
      </c>
      <c r="F99" s="147"/>
      <c r="G99" s="103" t="s">
        <v>102</v>
      </c>
      <c r="H99" s="147"/>
      <c r="I99" s="103" t="s">
        <v>103</v>
      </c>
      <c r="J99" s="147"/>
      <c r="K99" s="103" t="s">
        <v>104</v>
      </c>
      <c r="L99" s="147"/>
      <c r="M99" s="61" t="s">
        <v>105</v>
      </c>
      <c r="N99" s="62" t="s">
        <v>106</v>
      </c>
      <c r="O99" s="86"/>
    </row>
    <row r="100" spans="1:15" ht="103.5" customHeight="1">
      <c r="A100" s="172" t="s">
        <v>2</v>
      </c>
      <c r="B100" s="149"/>
      <c r="C100" s="172" t="s">
        <v>483</v>
      </c>
      <c r="D100" s="149"/>
      <c r="E100" s="172" t="s">
        <v>109</v>
      </c>
      <c r="F100" s="149"/>
      <c r="G100" s="172" t="s">
        <v>110</v>
      </c>
      <c r="H100" s="149"/>
      <c r="I100" s="172" t="s">
        <v>484</v>
      </c>
      <c r="J100" s="149"/>
      <c r="K100" s="172" t="s">
        <v>336</v>
      </c>
      <c r="L100" s="149"/>
      <c r="M100" s="174"/>
      <c r="N100" s="175" t="s">
        <v>485</v>
      </c>
      <c r="O100" s="86"/>
    </row>
    <row r="101" spans="1:1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</row>
    <row r="102" spans="1:15">
      <c r="A102" s="106" t="s">
        <v>85</v>
      </c>
      <c r="B102" s="160"/>
      <c r="C102" s="161"/>
      <c r="D102" s="141" t="str">
        <f>$A$1</f>
        <v>Disponibilidad</v>
      </c>
      <c r="E102" s="142"/>
      <c r="F102" s="142"/>
      <c r="G102" s="142"/>
      <c r="H102" s="142"/>
      <c r="I102" s="142"/>
      <c r="J102" s="142"/>
      <c r="K102" s="142"/>
      <c r="L102" s="142"/>
      <c r="M102" s="142"/>
      <c r="N102" s="143"/>
      <c r="O102" s="86"/>
    </row>
    <row r="103" spans="1:15">
      <c r="A103" s="107" t="s">
        <v>86</v>
      </c>
      <c r="B103" s="140"/>
      <c r="C103" s="163"/>
      <c r="D103" s="146" t="str">
        <f>Disponibilidad!A6</f>
        <v>Se requiere que la aplicación informe al piloto de manera clara cuando el servicio no esté disponible, mostrando mensajes de error descriptivos y permitiendo reintentar la operación.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86"/>
    </row>
    <row r="104" spans="1:15">
      <c r="A104" s="104" t="s">
        <v>87</v>
      </c>
      <c r="B104" s="144"/>
      <c r="C104" s="166"/>
      <c r="D104" s="141" t="s">
        <v>487</v>
      </c>
      <c r="E104" s="142"/>
      <c r="F104" s="142"/>
      <c r="G104" s="142"/>
      <c r="H104" s="142"/>
      <c r="I104" s="142"/>
      <c r="J104" s="142"/>
      <c r="K104" s="142"/>
      <c r="L104" s="142"/>
      <c r="M104" s="142"/>
      <c r="N104" s="143"/>
      <c r="O104" s="86"/>
    </row>
    <row r="105" spans="1:15">
      <c r="A105" s="105" t="s">
        <v>89</v>
      </c>
      <c r="B105" s="167"/>
      <c r="C105" s="168"/>
      <c r="D105" s="176" t="s">
        <v>488</v>
      </c>
      <c r="E105" s="170"/>
      <c r="F105" s="170"/>
      <c r="G105" s="170"/>
      <c r="H105" s="170"/>
      <c r="I105" s="170"/>
      <c r="J105" s="170"/>
      <c r="K105" s="170"/>
      <c r="L105" s="170"/>
      <c r="M105" s="170"/>
      <c r="N105" s="171"/>
      <c r="O105" s="86"/>
    </row>
    <row r="106" spans="1:15">
      <c r="A106" s="102" t="s">
        <v>91</v>
      </c>
      <c r="B106" s="177"/>
      <c r="C106" s="177"/>
      <c r="D106" s="141" t="s">
        <v>116</v>
      </c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86"/>
    </row>
    <row r="107" spans="1:15">
      <c r="A107" s="108" t="s">
        <v>93</v>
      </c>
      <c r="B107" s="137"/>
      <c r="C107" s="137"/>
      <c r="D107" s="178" t="s">
        <v>489</v>
      </c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86"/>
    </row>
    <row r="108" spans="1:15">
      <c r="A108" s="108" t="s">
        <v>95</v>
      </c>
      <c r="B108" s="179"/>
      <c r="C108" s="180"/>
      <c r="D108" s="178" t="s">
        <v>490</v>
      </c>
      <c r="E108" s="179"/>
      <c r="F108" s="179"/>
      <c r="G108" s="179"/>
      <c r="H108" s="179"/>
      <c r="I108" s="179"/>
      <c r="J108" s="179"/>
      <c r="K108" s="179"/>
      <c r="L108" s="179"/>
      <c r="M108" s="179"/>
      <c r="N108" s="180"/>
      <c r="O108" s="86"/>
    </row>
    <row r="109" spans="1:15">
      <c r="A109" s="102" t="s">
        <v>97</v>
      </c>
      <c r="B109" s="142"/>
      <c r="C109" s="143"/>
      <c r="D109" s="146" t="s">
        <v>491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3"/>
      <c r="O109" s="86"/>
    </row>
    <row r="110" spans="1:15" ht="30.75" customHeight="1">
      <c r="A110" s="103" t="s">
        <v>99</v>
      </c>
      <c r="B110" s="147"/>
      <c r="C110" s="103" t="s">
        <v>100</v>
      </c>
      <c r="D110" s="147"/>
      <c r="E110" s="103" t="s">
        <v>101</v>
      </c>
      <c r="F110" s="147"/>
      <c r="G110" s="103" t="s">
        <v>102</v>
      </c>
      <c r="H110" s="147"/>
      <c r="I110" s="103" t="s">
        <v>103</v>
      </c>
      <c r="J110" s="147"/>
      <c r="K110" s="103" t="s">
        <v>104</v>
      </c>
      <c r="L110" s="147"/>
      <c r="M110" s="61" t="s">
        <v>105</v>
      </c>
      <c r="N110" s="62" t="s">
        <v>106</v>
      </c>
      <c r="O110" s="86"/>
    </row>
    <row r="111" spans="1:15" ht="76.5" customHeight="1">
      <c r="A111" s="172" t="s">
        <v>2</v>
      </c>
      <c r="B111" s="149"/>
      <c r="C111" s="172" t="s">
        <v>492</v>
      </c>
      <c r="D111" s="149"/>
      <c r="E111" s="172" t="s">
        <v>430</v>
      </c>
      <c r="F111" s="149"/>
      <c r="G111" s="172" t="s">
        <v>110</v>
      </c>
      <c r="H111" s="149"/>
      <c r="I111" s="172" t="s">
        <v>493</v>
      </c>
      <c r="J111" s="149"/>
      <c r="K111" s="172" t="s">
        <v>494</v>
      </c>
      <c r="L111" s="149"/>
      <c r="M111" s="174"/>
      <c r="N111" s="175" t="s">
        <v>495</v>
      </c>
      <c r="O111" s="86"/>
    </row>
  </sheetData>
  <mergeCells count="280">
    <mergeCell ref="E23:F23"/>
    <mergeCell ref="G23:H23"/>
    <mergeCell ref="A21:C21"/>
    <mergeCell ref="D6:N6"/>
    <mergeCell ref="D21:N21"/>
    <mergeCell ref="D7:N7"/>
    <mergeCell ref="K11:L11"/>
    <mergeCell ref="C22:D22"/>
    <mergeCell ref="A20:C20"/>
    <mergeCell ref="D17:N17"/>
    <mergeCell ref="K23:L23"/>
    <mergeCell ref="I23:J23"/>
    <mergeCell ref="C23:D23"/>
    <mergeCell ref="A23:B23"/>
    <mergeCell ref="A17:C17"/>
    <mergeCell ref="A3:C3"/>
    <mergeCell ref="A5:C5"/>
    <mergeCell ref="A14:C14"/>
    <mergeCell ref="A4:C4"/>
    <mergeCell ref="A15:C15"/>
    <mergeCell ref="A7:C7"/>
    <mergeCell ref="C12:D12"/>
    <mergeCell ref="A12:B12"/>
    <mergeCell ref="D3:N3"/>
    <mergeCell ref="D5:N5"/>
    <mergeCell ref="D14:N14"/>
    <mergeCell ref="A8:C8"/>
    <mergeCell ref="A9:C9"/>
    <mergeCell ref="D8:N8"/>
    <mergeCell ref="D4:N4"/>
    <mergeCell ref="A6:C6"/>
    <mergeCell ref="D9:N9"/>
    <mergeCell ref="D15:N15"/>
    <mergeCell ref="G11:H11"/>
    <mergeCell ref="I11:J11"/>
    <mergeCell ref="D10:N10"/>
    <mergeCell ref="K22:L22"/>
    <mergeCell ref="I22:J22"/>
    <mergeCell ref="A10:C10"/>
    <mergeCell ref="I12:J12"/>
    <mergeCell ref="A19:C19"/>
    <mergeCell ref="D16:N16"/>
    <mergeCell ref="K12:L12"/>
    <mergeCell ref="C11:D11"/>
    <mergeCell ref="E11:F11"/>
    <mergeCell ref="D18:N18"/>
    <mergeCell ref="A22:B22"/>
    <mergeCell ref="G22:H22"/>
    <mergeCell ref="E22:F22"/>
    <mergeCell ref="E12:F12"/>
    <mergeCell ref="G12:H12"/>
    <mergeCell ref="A11:B11"/>
    <mergeCell ref="D19:N19"/>
    <mergeCell ref="A16:C16"/>
    <mergeCell ref="A18:C18"/>
    <mergeCell ref="D20:N20"/>
    <mergeCell ref="A28:C28"/>
    <mergeCell ref="D28:N28"/>
    <mergeCell ref="A29:C29"/>
    <mergeCell ref="D29:N29"/>
    <mergeCell ref="A30:C30"/>
    <mergeCell ref="D30:N30"/>
    <mergeCell ref="A25:C25"/>
    <mergeCell ref="D25:N25"/>
    <mergeCell ref="A26:C26"/>
    <mergeCell ref="D26:N26"/>
    <mergeCell ref="A27:C27"/>
    <mergeCell ref="D27:N27"/>
    <mergeCell ref="A31:C31"/>
    <mergeCell ref="D31:N31"/>
    <mergeCell ref="A32:C32"/>
    <mergeCell ref="D32:N32"/>
    <mergeCell ref="A33:B33"/>
    <mergeCell ref="C33:D33"/>
    <mergeCell ref="E33:F33"/>
    <mergeCell ref="G33:H33"/>
    <mergeCell ref="I33:J33"/>
    <mergeCell ref="K33:L33"/>
    <mergeCell ref="K34:L34"/>
    <mergeCell ref="A36:C36"/>
    <mergeCell ref="D36:N36"/>
    <mergeCell ref="A37:C37"/>
    <mergeCell ref="D37:N37"/>
    <mergeCell ref="A34:B34"/>
    <mergeCell ref="C34:D34"/>
    <mergeCell ref="E34:F34"/>
    <mergeCell ref="G34:H34"/>
    <mergeCell ref="I34:J34"/>
    <mergeCell ref="A41:C41"/>
    <mergeCell ref="D41:N41"/>
    <mergeCell ref="A42:C42"/>
    <mergeCell ref="D42:N42"/>
    <mergeCell ref="A43:C43"/>
    <mergeCell ref="D43:N43"/>
    <mergeCell ref="A38:C38"/>
    <mergeCell ref="D38:N38"/>
    <mergeCell ref="A39:C39"/>
    <mergeCell ref="D39:N39"/>
    <mergeCell ref="A40:C40"/>
    <mergeCell ref="D40:N40"/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A50:C50"/>
    <mergeCell ref="D50:N50"/>
    <mergeCell ref="A51:C51"/>
    <mergeCell ref="D51:N51"/>
    <mergeCell ref="A52:C52"/>
    <mergeCell ref="D52:N52"/>
    <mergeCell ref="A47:C47"/>
    <mergeCell ref="D47:N47"/>
    <mergeCell ref="A48:C48"/>
    <mergeCell ref="D48:N48"/>
    <mergeCell ref="A49:C49"/>
    <mergeCell ref="D49:N49"/>
    <mergeCell ref="A53:C53"/>
    <mergeCell ref="D53:N53"/>
    <mergeCell ref="A54:C54"/>
    <mergeCell ref="D54:N54"/>
    <mergeCell ref="A55:B55"/>
    <mergeCell ref="C55:D55"/>
    <mergeCell ref="E55:F55"/>
    <mergeCell ref="G55:H55"/>
    <mergeCell ref="I55:J55"/>
    <mergeCell ref="K55:L55"/>
    <mergeCell ref="K56:L56"/>
    <mergeCell ref="A58:C58"/>
    <mergeCell ref="D58:N58"/>
    <mergeCell ref="A59:C59"/>
    <mergeCell ref="D59:N59"/>
    <mergeCell ref="A56:B56"/>
    <mergeCell ref="C56:D56"/>
    <mergeCell ref="E56:F56"/>
    <mergeCell ref="G56:H56"/>
    <mergeCell ref="I56:J56"/>
    <mergeCell ref="A63:C63"/>
    <mergeCell ref="D63:N63"/>
    <mergeCell ref="A64:C64"/>
    <mergeCell ref="D64:N64"/>
    <mergeCell ref="A65:C65"/>
    <mergeCell ref="D65:N65"/>
    <mergeCell ref="A60:C60"/>
    <mergeCell ref="D60:N60"/>
    <mergeCell ref="A61:C61"/>
    <mergeCell ref="D61:N61"/>
    <mergeCell ref="A62:C62"/>
    <mergeCell ref="D62:N62"/>
    <mergeCell ref="K66:L66"/>
    <mergeCell ref="A67:B67"/>
    <mergeCell ref="C67:D67"/>
    <mergeCell ref="E67:F67"/>
    <mergeCell ref="G67:H67"/>
    <mergeCell ref="I67:J67"/>
    <mergeCell ref="K67:L67"/>
    <mergeCell ref="A66:B66"/>
    <mergeCell ref="C66:D66"/>
    <mergeCell ref="E66:F66"/>
    <mergeCell ref="G66:H66"/>
    <mergeCell ref="I66:J66"/>
    <mergeCell ref="A72:C72"/>
    <mergeCell ref="D72:N72"/>
    <mergeCell ref="A73:C73"/>
    <mergeCell ref="D73:N73"/>
    <mergeCell ref="A74:C74"/>
    <mergeCell ref="D74:N74"/>
    <mergeCell ref="A69:C69"/>
    <mergeCell ref="D69:N69"/>
    <mergeCell ref="A70:C70"/>
    <mergeCell ref="D70:N70"/>
    <mergeCell ref="A71:C71"/>
    <mergeCell ref="D71:N71"/>
    <mergeCell ref="A75:C75"/>
    <mergeCell ref="D75:N75"/>
    <mergeCell ref="A76:C76"/>
    <mergeCell ref="D76:N76"/>
    <mergeCell ref="A77:B77"/>
    <mergeCell ref="C77:D77"/>
    <mergeCell ref="E77:F77"/>
    <mergeCell ref="G77:H77"/>
    <mergeCell ref="I77:J77"/>
    <mergeCell ref="K77:L77"/>
    <mergeCell ref="K78:L78"/>
    <mergeCell ref="A80:C80"/>
    <mergeCell ref="D80:N80"/>
    <mergeCell ref="A81:C81"/>
    <mergeCell ref="D81:N81"/>
    <mergeCell ref="A78:B78"/>
    <mergeCell ref="C78:D78"/>
    <mergeCell ref="E78:F78"/>
    <mergeCell ref="G78:H78"/>
    <mergeCell ref="I78:J78"/>
    <mergeCell ref="A85:C85"/>
    <mergeCell ref="D85:N85"/>
    <mergeCell ref="A86:C86"/>
    <mergeCell ref="D86:N86"/>
    <mergeCell ref="A87:C87"/>
    <mergeCell ref="D87:N87"/>
    <mergeCell ref="A82:C82"/>
    <mergeCell ref="D82:N82"/>
    <mergeCell ref="A83:C83"/>
    <mergeCell ref="D83:N83"/>
    <mergeCell ref="A84:C84"/>
    <mergeCell ref="D84:N84"/>
    <mergeCell ref="K88:L88"/>
    <mergeCell ref="A89:B89"/>
    <mergeCell ref="C89:D89"/>
    <mergeCell ref="E89:F89"/>
    <mergeCell ref="G89:H89"/>
    <mergeCell ref="I89:J89"/>
    <mergeCell ref="K89:L89"/>
    <mergeCell ref="A88:B88"/>
    <mergeCell ref="C88:D88"/>
    <mergeCell ref="E88:F88"/>
    <mergeCell ref="G88:H88"/>
    <mergeCell ref="I88:J88"/>
    <mergeCell ref="A94:C94"/>
    <mergeCell ref="D94:N94"/>
    <mergeCell ref="A95:C95"/>
    <mergeCell ref="D95:N95"/>
    <mergeCell ref="A96:C96"/>
    <mergeCell ref="D96:N96"/>
    <mergeCell ref="A91:C91"/>
    <mergeCell ref="D91:N91"/>
    <mergeCell ref="A92:C92"/>
    <mergeCell ref="D92:N92"/>
    <mergeCell ref="A93:C93"/>
    <mergeCell ref="D93:N93"/>
    <mergeCell ref="A97:C97"/>
    <mergeCell ref="D97:N97"/>
    <mergeCell ref="A98:C98"/>
    <mergeCell ref="D98:N98"/>
    <mergeCell ref="A99:B99"/>
    <mergeCell ref="C99:D99"/>
    <mergeCell ref="E99:F99"/>
    <mergeCell ref="G99:H99"/>
    <mergeCell ref="I99:J99"/>
    <mergeCell ref="K99:L99"/>
    <mergeCell ref="K100:L100"/>
    <mergeCell ref="A102:C102"/>
    <mergeCell ref="D102:N102"/>
    <mergeCell ref="A103:C103"/>
    <mergeCell ref="D103:N103"/>
    <mergeCell ref="A100:B100"/>
    <mergeCell ref="C100:D100"/>
    <mergeCell ref="E100:F100"/>
    <mergeCell ref="G100:H100"/>
    <mergeCell ref="I100:J100"/>
    <mergeCell ref="A107:C107"/>
    <mergeCell ref="D107:N107"/>
    <mergeCell ref="A108:C108"/>
    <mergeCell ref="D108:N108"/>
    <mergeCell ref="A109:C109"/>
    <mergeCell ref="D109:N109"/>
    <mergeCell ref="A104:C104"/>
    <mergeCell ref="D104:N104"/>
    <mergeCell ref="A105:C105"/>
    <mergeCell ref="D105:N105"/>
    <mergeCell ref="A106:C106"/>
    <mergeCell ref="D106:N106"/>
    <mergeCell ref="K110:L110"/>
    <mergeCell ref="A111:B111"/>
    <mergeCell ref="C111:D111"/>
    <mergeCell ref="E111:F111"/>
    <mergeCell ref="G111:H111"/>
    <mergeCell ref="I111:J111"/>
    <mergeCell ref="K111:L111"/>
    <mergeCell ref="A110:B110"/>
    <mergeCell ref="C110:D110"/>
    <mergeCell ref="E110:F110"/>
    <mergeCell ref="G110:H110"/>
    <mergeCell ref="I110:J110"/>
  </mergeCells>
  <hyperlinks>
    <hyperlink ref="A1" location="'Disponibilidad'!B1" display="Disponibilidad" xr:uid="{00000000-0004-0000-14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5">
    <tabColor theme="9" tint="0.59999389629810485"/>
  </sheetPr>
  <dimension ref="A1:O100"/>
  <sheetViews>
    <sheetView topLeftCell="L83" workbookViewId="0">
      <selection activeCell="L96" sqref="L96"/>
    </sheetView>
  </sheetViews>
  <sheetFormatPr defaultColWidth="11.42578125" defaultRowHeight="15"/>
  <cols>
    <col min="1" max="1" width="12.140625" style="59" bestFit="1" customWidth="1"/>
    <col min="2" max="8" width="11.42578125" style="59" customWidth="1"/>
    <col min="9" max="9" width="22.7109375" style="59" customWidth="1"/>
    <col min="10" max="10" width="20.28515625" style="59" customWidth="1"/>
    <col min="11" max="12" width="22.7109375" style="59" customWidth="1"/>
    <col min="13" max="13" width="11.42578125" style="59" customWidth="1"/>
    <col min="14" max="14" width="57.5703125" style="59" customWidth="1"/>
    <col min="15" max="16384" width="11.42578125" style="59"/>
  </cols>
  <sheetData>
    <row r="1" spans="1:15">
      <c r="A1" s="58" t="s">
        <v>13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Escalabilidad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>
      <c r="A4" s="107" t="s">
        <v>86</v>
      </c>
      <c r="B4" s="140"/>
      <c r="C4" s="163"/>
      <c r="D4" s="146" t="str">
        <f>Escalabilidad!A2</f>
        <v>Se requiere que la aplicación pueda ser desplegada en contenedores, permitiendo escalar horizontalmente agregando instancias adicionales según la demanda.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496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497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 ht="31.5" customHeight="1">
      <c r="A8" s="105" t="s">
        <v>93</v>
      </c>
      <c r="B8" s="167"/>
      <c r="C8" s="168"/>
      <c r="D8" s="169" t="s">
        <v>498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31.5" customHeight="1">
      <c r="A9" s="102" t="s">
        <v>95</v>
      </c>
      <c r="B9" s="142"/>
      <c r="C9" s="143"/>
      <c r="D9" s="146" t="s">
        <v>499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>
      <c r="A10" s="102" t="s">
        <v>97</v>
      </c>
      <c r="B10" s="142"/>
      <c r="C10" s="143"/>
      <c r="D10" s="146" t="s">
        <v>500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93.75" customHeight="1">
      <c r="A12" s="172" t="s">
        <v>501</v>
      </c>
      <c r="B12" s="149"/>
      <c r="C12" s="172" t="s">
        <v>502</v>
      </c>
      <c r="D12" s="149"/>
      <c r="E12" s="172" t="s">
        <v>503</v>
      </c>
      <c r="F12" s="149"/>
      <c r="G12" s="172" t="s">
        <v>182</v>
      </c>
      <c r="H12" s="149"/>
      <c r="I12" s="172" t="s">
        <v>504</v>
      </c>
      <c r="J12" s="149"/>
      <c r="K12" s="172" t="s">
        <v>505</v>
      </c>
      <c r="L12" s="149"/>
      <c r="M12" s="174"/>
      <c r="N12" s="175" t="s">
        <v>506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Escalabilidad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15" customHeight="1">
      <c r="A15" s="107" t="s">
        <v>86</v>
      </c>
      <c r="B15" s="140"/>
      <c r="C15" s="163"/>
      <c r="D15" s="146" t="str">
        <f>Escalabilidad!A2</f>
        <v>Se requiere que la aplicación pueda ser desplegada en contenedores, permitiendo escalar horizontalmente agregando instancias adicionales según la demanda.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507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508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29.25" customHeight="1">
      <c r="A19" s="105" t="s">
        <v>93</v>
      </c>
      <c r="B19" s="167"/>
      <c r="C19" s="168"/>
      <c r="D19" s="169" t="s">
        <v>509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 ht="45" customHeight="1">
      <c r="A20" s="102" t="s">
        <v>95</v>
      </c>
      <c r="B20" s="142"/>
      <c r="C20" s="143"/>
      <c r="D20" s="146" t="s">
        <v>510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27" customHeight="1">
      <c r="A21" s="102" t="s">
        <v>97</v>
      </c>
      <c r="B21" s="142"/>
      <c r="C21" s="143"/>
      <c r="D21" s="146" t="s">
        <v>511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109.5" customHeight="1">
      <c r="A23" s="172" t="s">
        <v>2</v>
      </c>
      <c r="B23" s="149"/>
      <c r="C23" s="172" t="s">
        <v>512</v>
      </c>
      <c r="D23" s="149"/>
      <c r="E23" s="172" t="s">
        <v>513</v>
      </c>
      <c r="F23" s="149"/>
      <c r="G23" s="172" t="s">
        <v>182</v>
      </c>
      <c r="H23" s="149"/>
      <c r="I23" s="172" t="s">
        <v>514</v>
      </c>
      <c r="J23" s="149"/>
      <c r="K23" s="172" t="s">
        <v>515</v>
      </c>
      <c r="L23" s="149"/>
      <c r="M23" s="174"/>
      <c r="N23" s="175" t="s">
        <v>516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Escalabilidad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18" customHeight="1">
      <c r="A26" s="107" t="s">
        <v>86</v>
      </c>
      <c r="B26" s="140"/>
      <c r="C26" s="163"/>
      <c r="D26" s="146" t="str">
        <f>Escalabilidad!A3</f>
        <v>Se requiere que la base de datos MySQL soporte el crecimiento del historial de vuelos y pilotos sin degradar los tiempos de consulta de resúmenes y alertas.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517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518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 ht="15" customHeight="1">
      <c r="A30" s="105" t="s">
        <v>93</v>
      </c>
      <c r="B30" s="167"/>
      <c r="C30" s="168"/>
      <c r="D30" s="169" t="s">
        <v>519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32.25" customHeight="1">
      <c r="A31" s="102" t="s">
        <v>95</v>
      </c>
      <c r="B31" s="142"/>
      <c r="C31" s="143"/>
      <c r="D31" s="146" t="s">
        <v>520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 ht="15" customHeight="1">
      <c r="A32" s="102" t="s">
        <v>97</v>
      </c>
      <c r="B32" s="142"/>
      <c r="C32" s="143"/>
      <c r="D32" s="146" t="s">
        <v>521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106.5" customHeight="1">
      <c r="A34" s="172" t="s">
        <v>193</v>
      </c>
      <c r="B34" s="149"/>
      <c r="C34" s="172" t="s">
        <v>522</v>
      </c>
      <c r="D34" s="149"/>
      <c r="E34" s="172" t="s">
        <v>513</v>
      </c>
      <c r="F34" s="149"/>
      <c r="G34" s="172" t="s">
        <v>182</v>
      </c>
      <c r="H34" s="149"/>
      <c r="I34" s="172" t="s">
        <v>523</v>
      </c>
      <c r="J34" s="149"/>
      <c r="K34" s="172" t="s">
        <v>524</v>
      </c>
      <c r="L34" s="149"/>
      <c r="M34" s="174"/>
      <c r="N34" s="175" t="s">
        <v>525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Escalabilidad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16.5" customHeight="1">
      <c r="A37" s="107" t="s">
        <v>86</v>
      </c>
      <c r="B37" s="140"/>
      <c r="C37" s="163"/>
      <c r="D37" s="146" t="str">
        <f>Escalabilidad!A3</f>
        <v>Se requiere que la base de datos MySQL soporte el crecimiento del historial de vuelos y pilotos sin degradar los tiempos de consulta de resúmenes y alertas.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526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527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 ht="28.5" customHeight="1">
      <c r="A41" s="105" t="s">
        <v>93</v>
      </c>
      <c r="B41" s="167"/>
      <c r="C41" s="168"/>
      <c r="D41" s="169" t="s">
        <v>528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42" customHeight="1">
      <c r="A42" s="102" t="s">
        <v>95</v>
      </c>
      <c r="B42" s="142"/>
      <c r="C42" s="143"/>
      <c r="D42" s="146" t="s">
        <v>529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 ht="30" customHeight="1">
      <c r="A43" s="102" t="s">
        <v>97</v>
      </c>
      <c r="B43" s="142"/>
      <c r="C43" s="143"/>
      <c r="D43" s="146" t="s">
        <v>530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69.75" customHeight="1">
      <c r="A45" s="172" t="s">
        <v>2</v>
      </c>
      <c r="B45" s="149"/>
      <c r="C45" s="172" t="s">
        <v>531</v>
      </c>
      <c r="D45" s="149"/>
      <c r="E45" s="172" t="s">
        <v>513</v>
      </c>
      <c r="F45" s="149"/>
      <c r="G45" s="172" t="s">
        <v>182</v>
      </c>
      <c r="H45" s="149"/>
      <c r="I45" s="172" t="s">
        <v>532</v>
      </c>
      <c r="J45" s="149"/>
      <c r="K45" s="172" t="s">
        <v>533</v>
      </c>
      <c r="L45" s="149"/>
      <c r="M45" s="174"/>
      <c r="N45" s="175" t="s">
        <v>534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Escalabilidad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18" customHeight="1">
      <c r="A48" s="107" t="s">
        <v>86</v>
      </c>
      <c r="B48" s="140"/>
      <c r="C48" s="163"/>
      <c r="D48" s="146" t="str">
        <f>Escalabilidad!A4</f>
        <v>Se requiere que la aplicación pueda someterse a pruebas que muestren cómo se comporta cuando tiene que atender a muchos usuarios al mismo tiempo, para asegurar que siga funcionando bien.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535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536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 ht="30.75" customHeight="1">
      <c r="A52" s="105" t="s">
        <v>93</v>
      </c>
      <c r="B52" s="167"/>
      <c r="C52" s="168"/>
      <c r="D52" s="169" t="s">
        <v>537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</row>
    <row r="53" spans="1:15" ht="42.75" customHeight="1">
      <c r="A53" s="102" t="s">
        <v>95</v>
      </c>
      <c r="B53" s="142"/>
      <c r="C53" s="143"/>
      <c r="D53" s="146" t="s">
        <v>538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 ht="26.25" customHeight="1">
      <c r="A54" s="102" t="s">
        <v>97</v>
      </c>
      <c r="B54" s="142"/>
      <c r="C54" s="143"/>
      <c r="D54" s="146" t="s">
        <v>539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</row>
    <row r="56" spans="1:15" ht="64.5" customHeight="1">
      <c r="A56" s="172" t="s">
        <v>540</v>
      </c>
      <c r="B56" s="149"/>
      <c r="C56" s="172" t="s">
        <v>522</v>
      </c>
      <c r="D56" s="149"/>
      <c r="E56" s="172" t="s">
        <v>513</v>
      </c>
      <c r="F56" s="149"/>
      <c r="G56" s="172" t="s">
        <v>182</v>
      </c>
      <c r="H56" s="149"/>
      <c r="I56" s="172" t="s">
        <v>541</v>
      </c>
      <c r="J56" s="149"/>
      <c r="K56" s="172" t="s">
        <v>542</v>
      </c>
      <c r="L56" s="149"/>
      <c r="M56" s="174"/>
      <c r="N56" s="175" t="s">
        <v>543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Escalabilidad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>
      <c r="A59" s="107" t="s">
        <v>86</v>
      </c>
      <c r="B59" s="140"/>
      <c r="C59" s="163"/>
      <c r="D59" s="146" t="str">
        <f>Escalabilidad!A4</f>
        <v>Se requiere que la aplicación pueda someterse a pruebas que muestren cómo se comporta cuando tiene que atender a muchos usuarios al mismo tiempo, para asegurar que siga funcionando bien.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544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545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 ht="30" customHeight="1">
      <c r="A63" s="105" t="s">
        <v>93</v>
      </c>
      <c r="B63" s="167"/>
      <c r="C63" s="168"/>
      <c r="D63" s="169" t="s">
        <v>546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</row>
    <row r="64" spans="1:15" ht="26.25" customHeight="1">
      <c r="A64" s="102" t="s">
        <v>95</v>
      </c>
      <c r="B64" s="142"/>
      <c r="C64" s="143"/>
      <c r="D64" s="146" t="s">
        <v>547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 ht="15" customHeight="1">
      <c r="A65" s="102" t="s">
        <v>97</v>
      </c>
      <c r="B65" s="142"/>
      <c r="C65" s="143"/>
      <c r="D65" s="146" t="s">
        <v>548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93" customHeight="1">
      <c r="A67" s="172" t="s">
        <v>540</v>
      </c>
      <c r="B67" s="149"/>
      <c r="C67" s="172" t="s">
        <v>531</v>
      </c>
      <c r="D67" s="149"/>
      <c r="E67" s="172" t="s">
        <v>513</v>
      </c>
      <c r="F67" s="149"/>
      <c r="G67" s="172" t="s">
        <v>182</v>
      </c>
      <c r="H67" s="149"/>
      <c r="I67" s="172" t="s">
        <v>549</v>
      </c>
      <c r="J67" s="149"/>
      <c r="K67" s="172" t="s">
        <v>550</v>
      </c>
      <c r="L67" s="149"/>
      <c r="M67" s="174"/>
      <c r="N67" s="175" t="s">
        <v>551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Escalabilidad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30.75" customHeight="1">
      <c r="A70" s="107" t="s">
        <v>86</v>
      </c>
      <c r="B70" s="140"/>
      <c r="C70" s="163"/>
      <c r="D70" s="146" t="str">
        <f>Escalabilidad!A5</f>
        <v>Se requiere que la aplicación gestione adecuadamente múltiples pilotos consultando simultáneamente sus horas de vuelo y alertas, utilizando la concurrencia nativa de Go sin pérdida de datos.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552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553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 ht="29.25" customHeight="1">
      <c r="A74" s="105" t="s">
        <v>93</v>
      </c>
      <c r="B74" s="167"/>
      <c r="C74" s="168"/>
      <c r="D74" s="169" t="s">
        <v>554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/>
      <c r="O74" s="86"/>
    </row>
    <row r="75" spans="1:15" ht="45" customHeight="1">
      <c r="A75" s="102" t="s">
        <v>95</v>
      </c>
      <c r="B75" s="142"/>
      <c r="C75" s="143"/>
      <c r="D75" s="146" t="s">
        <v>555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27" customHeight="1">
      <c r="A76" s="102" t="s">
        <v>97</v>
      </c>
      <c r="B76" s="142"/>
      <c r="C76" s="143"/>
      <c r="D76" s="146" t="s">
        <v>556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 ht="30.75" customHeight="1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2" t="s">
        <v>106</v>
      </c>
      <c r="O77" s="86"/>
    </row>
    <row r="78" spans="1:15" ht="78" customHeight="1">
      <c r="A78" s="172" t="s">
        <v>557</v>
      </c>
      <c r="B78" s="149"/>
      <c r="C78" s="172" t="s">
        <v>558</v>
      </c>
      <c r="D78" s="149"/>
      <c r="E78" s="172" t="s">
        <v>513</v>
      </c>
      <c r="F78" s="149"/>
      <c r="G78" s="172" t="s">
        <v>182</v>
      </c>
      <c r="H78" s="149"/>
      <c r="I78" s="172" t="s">
        <v>559</v>
      </c>
      <c r="J78" s="149"/>
      <c r="K78" s="172" t="s">
        <v>560</v>
      </c>
      <c r="L78" s="149"/>
      <c r="M78" s="174"/>
      <c r="N78" s="175" t="s">
        <v>561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Escalabilidad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 ht="21" customHeight="1">
      <c r="A81" s="107" t="s">
        <v>86</v>
      </c>
      <c r="B81" s="140"/>
      <c r="C81" s="163"/>
      <c r="D81" s="146" t="str">
        <f>Escalabilidad!A5</f>
        <v>Se requiere que la aplicación gestione adecuadamente múltiples pilotos consultando simultáneamente sus horas de vuelo y alertas, utilizando la concurrencia nativa de Go sin pérdida de datos.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562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104" t="s">
        <v>89</v>
      </c>
      <c r="B83" s="144"/>
      <c r="C83" s="166"/>
      <c r="D83" s="141" t="s">
        <v>320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104" t="s">
        <v>91</v>
      </c>
      <c r="B84" s="144"/>
      <c r="C84" s="166"/>
      <c r="D84" s="141" t="s">
        <v>116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 ht="21" customHeight="1">
      <c r="A85" s="105" t="s">
        <v>93</v>
      </c>
      <c r="B85" s="167"/>
      <c r="C85" s="168"/>
      <c r="D85" s="169" t="s">
        <v>563</v>
      </c>
      <c r="E85" s="170"/>
      <c r="F85" s="170"/>
      <c r="G85" s="170"/>
      <c r="H85" s="170"/>
      <c r="I85" s="170"/>
      <c r="J85" s="170"/>
      <c r="K85" s="170"/>
      <c r="L85" s="170"/>
      <c r="M85" s="170"/>
      <c r="N85" s="171"/>
      <c r="O85" s="86"/>
    </row>
    <row r="86" spans="1:15" ht="27" customHeight="1">
      <c r="A86" s="102" t="s">
        <v>95</v>
      </c>
      <c r="B86" s="142"/>
      <c r="C86" s="143"/>
      <c r="D86" s="146" t="s">
        <v>564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3"/>
      <c r="O86" s="86"/>
    </row>
    <row r="87" spans="1:15" ht="15" customHeight="1">
      <c r="A87" s="102" t="s">
        <v>97</v>
      </c>
      <c r="B87" s="142"/>
      <c r="C87" s="143"/>
      <c r="D87" s="146" t="s">
        <v>565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 ht="30.75" customHeight="1">
      <c r="A88" s="103" t="s">
        <v>99</v>
      </c>
      <c r="B88" s="147"/>
      <c r="C88" s="103" t="s">
        <v>100</v>
      </c>
      <c r="D88" s="147"/>
      <c r="E88" s="103" t="s">
        <v>101</v>
      </c>
      <c r="F88" s="147"/>
      <c r="G88" s="103" t="s">
        <v>102</v>
      </c>
      <c r="H88" s="147"/>
      <c r="I88" s="103" t="s">
        <v>103</v>
      </c>
      <c r="J88" s="147"/>
      <c r="K88" s="103" t="s">
        <v>104</v>
      </c>
      <c r="L88" s="147"/>
      <c r="M88" s="61" t="s">
        <v>105</v>
      </c>
      <c r="N88" s="62" t="s">
        <v>106</v>
      </c>
      <c r="O88" s="86"/>
    </row>
    <row r="89" spans="1:15" ht="91.5" customHeight="1">
      <c r="A89" s="172" t="s">
        <v>193</v>
      </c>
      <c r="B89" s="149"/>
      <c r="C89" s="172" t="s">
        <v>566</v>
      </c>
      <c r="D89" s="149"/>
      <c r="E89" s="172" t="s">
        <v>513</v>
      </c>
      <c r="F89" s="149"/>
      <c r="G89" s="172" t="s">
        <v>182</v>
      </c>
      <c r="H89" s="149"/>
      <c r="I89" s="172" t="s">
        <v>567</v>
      </c>
      <c r="J89" s="149"/>
      <c r="K89" s="172" t="s">
        <v>568</v>
      </c>
      <c r="L89" s="149"/>
      <c r="M89" s="174"/>
      <c r="N89" s="175" t="s">
        <v>569</v>
      </c>
      <c r="O89" s="86"/>
    </row>
    <row r="90" spans="1:1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</row>
    <row r="92" spans="1:15" ht="19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</row>
    <row r="93" spans="1:1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</row>
    <row r="94" spans="1:1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</row>
    <row r="95" spans="1:1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</row>
    <row r="96" spans="1:15" ht="3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</row>
    <row r="97" spans="1:15" ht="42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</row>
    <row r="98" spans="1:15" ht="3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</row>
    <row r="99" spans="1:15" ht="30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</row>
    <row r="100" spans="1:15" ht="60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</row>
  </sheetData>
  <mergeCells count="224">
    <mergeCell ref="D10:N10"/>
    <mergeCell ref="K11:L11"/>
    <mergeCell ref="C12:D12"/>
    <mergeCell ref="A12:B12"/>
    <mergeCell ref="A10:C10"/>
    <mergeCell ref="I12:J12"/>
    <mergeCell ref="K12:L12"/>
    <mergeCell ref="E12:F12"/>
    <mergeCell ref="G12:H12"/>
    <mergeCell ref="A11:B11"/>
    <mergeCell ref="G11:H11"/>
    <mergeCell ref="I11:J11"/>
    <mergeCell ref="C11:D11"/>
    <mergeCell ref="E11:F11"/>
    <mergeCell ref="A9:C9"/>
    <mergeCell ref="D8:N8"/>
    <mergeCell ref="A3:C3"/>
    <mergeCell ref="A5:C5"/>
    <mergeCell ref="A4:C4"/>
    <mergeCell ref="D9:N9"/>
    <mergeCell ref="A7:C7"/>
    <mergeCell ref="D3:N3"/>
    <mergeCell ref="D5:N5"/>
    <mergeCell ref="A8:C8"/>
    <mergeCell ref="D6:N6"/>
    <mergeCell ref="D7:N7"/>
    <mergeCell ref="D4:N4"/>
    <mergeCell ref="A6:C6"/>
    <mergeCell ref="A17:C17"/>
    <mergeCell ref="D17:N17"/>
    <mergeCell ref="A18:C18"/>
    <mergeCell ref="D18:N18"/>
    <mergeCell ref="A19:C19"/>
    <mergeCell ref="D19:N19"/>
    <mergeCell ref="A14:C14"/>
    <mergeCell ref="D14:N14"/>
    <mergeCell ref="A15:C15"/>
    <mergeCell ref="D15:N15"/>
    <mergeCell ref="A16:C16"/>
    <mergeCell ref="D16:N16"/>
    <mergeCell ref="A20:C20"/>
    <mergeCell ref="D20:N20"/>
    <mergeCell ref="A21:C21"/>
    <mergeCell ref="D21:N21"/>
    <mergeCell ref="A22:B22"/>
    <mergeCell ref="C22:D22"/>
    <mergeCell ref="E22:F22"/>
    <mergeCell ref="G22:H22"/>
    <mergeCell ref="I22:J22"/>
    <mergeCell ref="K22:L22"/>
    <mergeCell ref="K23:L23"/>
    <mergeCell ref="A25:C25"/>
    <mergeCell ref="D25:N25"/>
    <mergeCell ref="A26:C26"/>
    <mergeCell ref="D26:N26"/>
    <mergeCell ref="A23:B23"/>
    <mergeCell ref="C23:D23"/>
    <mergeCell ref="E23:F23"/>
    <mergeCell ref="G23:H23"/>
    <mergeCell ref="I23:J23"/>
    <mergeCell ref="A30:C30"/>
    <mergeCell ref="D30:N30"/>
    <mergeCell ref="A31:C31"/>
    <mergeCell ref="D31:N31"/>
    <mergeCell ref="A32:C32"/>
    <mergeCell ref="D32:N32"/>
    <mergeCell ref="A27:C27"/>
    <mergeCell ref="D27:N27"/>
    <mergeCell ref="A28:C28"/>
    <mergeCell ref="D28:N28"/>
    <mergeCell ref="A29:C29"/>
    <mergeCell ref="D29:N29"/>
    <mergeCell ref="K33:L33"/>
    <mergeCell ref="A34:B34"/>
    <mergeCell ref="C34:D34"/>
    <mergeCell ref="E34:F34"/>
    <mergeCell ref="G34:H34"/>
    <mergeCell ref="I34:J34"/>
    <mergeCell ref="K34:L34"/>
    <mergeCell ref="A33:B33"/>
    <mergeCell ref="C33:D33"/>
    <mergeCell ref="E33:F33"/>
    <mergeCell ref="G33:H33"/>
    <mergeCell ref="I33:J33"/>
    <mergeCell ref="A39:C39"/>
    <mergeCell ref="D39:N39"/>
    <mergeCell ref="A40:C40"/>
    <mergeCell ref="D40:N40"/>
    <mergeCell ref="A41:C41"/>
    <mergeCell ref="D41:N41"/>
    <mergeCell ref="A36:C36"/>
    <mergeCell ref="D36:N36"/>
    <mergeCell ref="A37:C37"/>
    <mergeCell ref="D37:N37"/>
    <mergeCell ref="A38:C38"/>
    <mergeCell ref="D38:N38"/>
    <mergeCell ref="A42:C42"/>
    <mergeCell ref="D42:N42"/>
    <mergeCell ref="A43:C43"/>
    <mergeCell ref="D43:N43"/>
    <mergeCell ref="A44:B44"/>
    <mergeCell ref="C44:D44"/>
    <mergeCell ref="E44:F44"/>
    <mergeCell ref="G44:H44"/>
    <mergeCell ref="I44:J44"/>
    <mergeCell ref="K44:L44"/>
    <mergeCell ref="K45:L45"/>
    <mergeCell ref="A47:C47"/>
    <mergeCell ref="D47:N47"/>
    <mergeCell ref="A48:C48"/>
    <mergeCell ref="D48:N48"/>
    <mergeCell ref="A45:B45"/>
    <mergeCell ref="C45:D45"/>
    <mergeCell ref="E45:F45"/>
    <mergeCell ref="G45:H45"/>
    <mergeCell ref="I45:J45"/>
    <mergeCell ref="A52:C52"/>
    <mergeCell ref="D52:N52"/>
    <mergeCell ref="A53:C53"/>
    <mergeCell ref="D53:N53"/>
    <mergeCell ref="A54:C54"/>
    <mergeCell ref="D54:N54"/>
    <mergeCell ref="A49:C49"/>
    <mergeCell ref="D49:N49"/>
    <mergeCell ref="A50:C50"/>
    <mergeCell ref="D50:N50"/>
    <mergeCell ref="A51:C51"/>
    <mergeCell ref="D51:N51"/>
    <mergeCell ref="K55:L55"/>
    <mergeCell ref="A56:B56"/>
    <mergeCell ref="C56:D56"/>
    <mergeCell ref="E56:F56"/>
    <mergeCell ref="G56:H56"/>
    <mergeCell ref="I56:J56"/>
    <mergeCell ref="K56:L56"/>
    <mergeCell ref="A55:B55"/>
    <mergeCell ref="C55:D55"/>
    <mergeCell ref="E55:F55"/>
    <mergeCell ref="G55:H55"/>
    <mergeCell ref="I55:J55"/>
    <mergeCell ref="A61:C61"/>
    <mergeCell ref="D61:N61"/>
    <mergeCell ref="A62:C62"/>
    <mergeCell ref="D62:N62"/>
    <mergeCell ref="A63:C63"/>
    <mergeCell ref="D63:N63"/>
    <mergeCell ref="A58:C58"/>
    <mergeCell ref="D58:N58"/>
    <mergeCell ref="A59:C59"/>
    <mergeCell ref="D59:N59"/>
    <mergeCell ref="A60:C60"/>
    <mergeCell ref="D60:N60"/>
    <mergeCell ref="A64:C64"/>
    <mergeCell ref="D64:N64"/>
    <mergeCell ref="A65:C65"/>
    <mergeCell ref="D65:N65"/>
    <mergeCell ref="A66:B66"/>
    <mergeCell ref="C66:D66"/>
    <mergeCell ref="E66:F66"/>
    <mergeCell ref="G66:H66"/>
    <mergeCell ref="I66:J66"/>
    <mergeCell ref="K66:L66"/>
    <mergeCell ref="K67:L67"/>
    <mergeCell ref="A69:C69"/>
    <mergeCell ref="D69:N69"/>
    <mergeCell ref="A70:C70"/>
    <mergeCell ref="D70:N70"/>
    <mergeCell ref="A67:B67"/>
    <mergeCell ref="C67:D67"/>
    <mergeCell ref="E67:F67"/>
    <mergeCell ref="G67:H67"/>
    <mergeCell ref="I67:J67"/>
    <mergeCell ref="A74:C74"/>
    <mergeCell ref="D74:N74"/>
    <mergeCell ref="A75:C75"/>
    <mergeCell ref="D75:N75"/>
    <mergeCell ref="A76:C76"/>
    <mergeCell ref="D76:N76"/>
    <mergeCell ref="A71:C71"/>
    <mergeCell ref="D71:N71"/>
    <mergeCell ref="A72:C72"/>
    <mergeCell ref="D72:N72"/>
    <mergeCell ref="A73:C73"/>
    <mergeCell ref="D73:N73"/>
    <mergeCell ref="K77:L77"/>
    <mergeCell ref="A78:B78"/>
    <mergeCell ref="C78:D78"/>
    <mergeCell ref="E78:F78"/>
    <mergeCell ref="G78:H78"/>
    <mergeCell ref="I78:J78"/>
    <mergeCell ref="K78:L78"/>
    <mergeCell ref="A77:B77"/>
    <mergeCell ref="C77:D77"/>
    <mergeCell ref="E77:F77"/>
    <mergeCell ref="G77:H77"/>
    <mergeCell ref="I77:J77"/>
    <mergeCell ref="A83:C83"/>
    <mergeCell ref="D83:N83"/>
    <mergeCell ref="A84:C84"/>
    <mergeCell ref="D84:N84"/>
    <mergeCell ref="A85:C85"/>
    <mergeCell ref="D85:N85"/>
    <mergeCell ref="A80:C80"/>
    <mergeCell ref="D80:N80"/>
    <mergeCell ref="A81:C81"/>
    <mergeCell ref="D81:N81"/>
    <mergeCell ref="A82:C82"/>
    <mergeCell ref="D82:N82"/>
    <mergeCell ref="K89:L89"/>
    <mergeCell ref="A89:B89"/>
    <mergeCell ref="C89:D89"/>
    <mergeCell ref="E89:F89"/>
    <mergeCell ref="G89:H89"/>
    <mergeCell ref="I89:J89"/>
    <mergeCell ref="A86:C86"/>
    <mergeCell ref="D86:N86"/>
    <mergeCell ref="A87:C87"/>
    <mergeCell ref="D87:N87"/>
    <mergeCell ref="A88:B88"/>
    <mergeCell ref="C88:D88"/>
    <mergeCell ref="E88:F88"/>
    <mergeCell ref="G88:H88"/>
    <mergeCell ref="I88:J88"/>
    <mergeCell ref="K88:L88"/>
  </mergeCells>
  <hyperlinks>
    <hyperlink ref="A1" location="'Escalabilidad'!B1" display="Escalabilidad" xr:uid="{00000000-0004-0000-15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4">
    <tabColor theme="9" tint="0.59999389629810485"/>
  </sheetPr>
  <dimension ref="A1:O221"/>
  <sheetViews>
    <sheetView tabSelected="1" topLeftCell="L214" workbookViewId="0">
      <selection activeCell="O221" sqref="O221"/>
    </sheetView>
  </sheetViews>
  <sheetFormatPr defaultColWidth="11.42578125" defaultRowHeight="15"/>
  <cols>
    <col min="1" max="1" width="12.140625" style="59" bestFit="1" customWidth="1"/>
    <col min="2" max="8" width="11.42578125" style="59" customWidth="1"/>
    <col min="9" max="12" width="22.7109375" style="59" customWidth="1"/>
    <col min="13" max="13" width="11.42578125" style="59" customWidth="1"/>
    <col min="14" max="14" width="64.140625" style="59" customWidth="1"/>
    <col min="15" max="16384" width="11.42578125" style="59"/>
  </cols>
  <sheetData>
    <row r="1" spans="1:15">
      <c r="A1" s="58" t="s">
        <v>570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Experiencia de Usuario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18.75" customHeight="1">
      <c r="A4" s="107" t="s">
        <v>86</v>
      </c>
      <c r="B4" s="140"/>
      <c r="C4" s="163"/>
      <c r="D4" s="146" t="str">
        <f>'Experiencia de usuario'!A2</f>
        <v>Se requiere que la aplicación mantenga una estética visual coherente con la identidad de la marca, mejorando la percepción de confianza.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571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572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>
      <c r="A8" s="105" t="s">
        <v>93</v>
      </c>
      <c r="B8" s="167"/>
      <c r="C8" s="168"/>
      <c r="D8" s="169" t="s">
        <v>573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32.25" customHeight="1">
      <c r="A9" s="102" t="s">
        <v>95</v>
      </c>
      <c r="B9" s="142"/>
      <c r="C9" s="143"/>
      <c r="D9" s="146" t="s">
        <v>574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18" customHeight="1">
      <c r="A10" s="102" t="s">
        <v>97</v>
      </c>
      <c r="B10" s="142"/>
      <c r="C10" s="143"/>
      <c r="D10" s="146" t="s">
        <v>575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60.75" customHeight="1">
      <c r="A12" s="172" t="s">
        <v>576</v>
      </c>
      <c r="B12" s="149"/>
      <c r="C12" s="172" t="s">
        <v>577</v>
      </c>
      <c r="D12" s="149"/>
      <c r="E12" s="172" t="s">
        <v>109</v>
      </c>
      <c r="F12" s="149"/>
      <c r="G12" s="172" t="s">
        <v>578</v>
      </c>
      <c r="H12" s="149"/>
      <c r="I12" s="172" t="s">
        <v>578</v>
      </c>
      <c r="J12" s="149"/>
      <c r="K12" s="172" t="s">
        <v>579</v>
      </c>
      <c r="L12" s="149"/>
      <c r="M12" s="174"/>
      <c r="N12" s="175" t="s">
        <v>580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Experiencia de Usuario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18" customHeight="1">
      <c r="A15" s="107" t="s">
        <v>86</v>
      </c>
      <c r="B15" s="140"/>
      <c r="C15" s="163"/>
      <c r="D15" s="146" t="str">
        <f>'Experiencia de usuario'!A2</f>
        <v>Se requiere que la aplicación mantenga una estética visual coherente con la identidad de la marca, mejorando la percepción de confianza.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581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582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29.25" customHeight="1">
      <c r="A19" s="105" t="s">
        <v>93</v>
      </c>
      <c r="B19" s="167"/>
      <c r="C19" s="168"/>
      <c r="D19" s="169" t="s">
        <v>583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 ht="46.5" customHeight="1">
      <c r="A20" s="102" t="s">
        <v>95</v>
      </c>
      <c r="B20" s="142"/>
      <c r="C20" s="143"/>
      <c r="D20" s="146" t="s">
        <v>584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>
      <c r="A21" s="102" t="s">
        <v>97</v>
      </c>
      <c r="B21" s="142"/>
      <c r="C21" s="143"/>
      <c r="D21" s="146" t="s">
        <v>585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84" customHeight="1">
      <c r="A23" s="172" t="s">
        <v>586</v>
      </c>
      <c r="B23" s="149"/>
      <c r="C23" s="172" t="s">
        <v>587</v>
      </c>
      <c r="D23" s="149"/>
      <c r="E23" s="172" t="s">
        <v>109</v>
      </c>
      <c r="F23" s="149"/>
      <c r="G23" s="172" t="s">
        <v>110</v>
      </c>
      <c r="H23" s="149"/>
      <c r="I23" s="172" t="s">
        <v>588</v>
      </c>
      <c r="J23" s="149"/>
      <c r="K23" s="172" t="s">
        <v>589</v>
      </c>
      <c r="L23" s="149"/>
      <c r="M23" s="174"/>
      <c r="N23" s="175" t="s">
        <v>590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Experiencia de Usuario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18.75" customHeight="1">
      <c r="A26" s="107" t="s">
        <v>86</v>
      </c>
      <c r="B26" s="140"/>
      <c r="C26" s="163"/>
      <c r="D26" s="146" t="str">
        <f>'Experiencia de usuario'!A3</f>
        <v>Se requiere que la aplicación mantenga una navegación consistente, con menús y controles ubicados de manera predecible.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591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592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 ht="15" customHeight="1">
      <c r="A30" s="105" t="s">
        <v>93</v>
      </c>
      <c r="B30" s="167"/>
      <c r="C30" s="168"/>
      <c r="D30" s="169" t="s">
        <v>593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29.25" customHeight="1">
      <c r="A31" s="102" t="s">
        <v>95</v>
      </c>
      <c r="B31" s="142"/>
      <c r="C31" s="143"/>
      <c r="D31" s="146" t="s">
        <v>594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 ht="33" customHeight="1">
      <c r="A32" s="102" t="s">
        <v>97</v>
      </c>
      <c r="B32" s="142"/>
      <c r="C32" s="143"/>
      <c r="D32" s="146" t="s">
        <v>595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71.25" customHeight="1">
      <c r="A34" s="172" t="s">
        <v>2</v>
      </c>
      <c r="B34" s="149"/>
      <c r="C34" s="172" t="s">
        <v>596</v>
      </c>
      <c r="D34" s="149"/>
      <c r="E34" s="172" t="s">
        <v>109</v>
      </c>
      <c r="F34" s="149"/>
      <c r="G34" s="172" t="s">
        <v>110</v>
      </c>
      <c r="H34" s="149"/>
      <c r="I34" s="172" t="s">
        <v>597</v>
      </c>
      <c r="J34" s="149"/>
      <c r="K34" s="172" t="s">
        <v>598</v>
      </c>
      <c r="L34" s="149"/>
      <c r="M34" s="174"/>
      <c r="N34" s="175" t="s">
        <v>599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Experiencia de Usuario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18" customHeight="1">
      <c r="A37" s="107" t="s">
        <v>86</v>
      </c>
      <c r="B37" s="140"/>
      <c r="C37" s="163"/>
      <c r="D37" s="146" t="str">
        <f>'Experiencia de usuario'!A3</f>
        <v>Se requiere que la aplicación mantenga una navegación consistente, con menús y controles ubicados de manera predecible.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600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601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 ht="27" customHeight="1">
      <c r="A41" s="105" t="s">
        <v>93</v>
      </c>
      <c r="B41" s="167"/>
      <c r="C41" s="168"/>
      <c r="D41" s="169" t="s">
        <v>602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42" customHeight="1">
      <c r="A42" s="102" t="s">
        <v>95</v>
      </c>
      <c r="B42" s="142"/>
      <c r="C42" s="143"/>
      <c r="D42" s="146" t="s">
        <v>603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 ht="27.75" customHeight="1">
      <c r="A43" s="102" t="s">
        <v>97</v>
      </c>
      <c r="B43" s="142"/>
      <c r="C43" s="143"/>
      <c r="D43" s="146" t="s">
        <v>604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57.75" customHeight="1">
      <c r="A45" s="172" t="s">
        <v>2</v>
      </c>
      <c r="B45" s="149"/>
      <c r="C45" s="172" t="s">
        <v>605</v>
      </c>
      <c r="D45" s="149"/>
      <c r="E45" s="172" t="s">
        <v>109</v>
      </c>
      <c r="F45" s="149"/>
      <c r="G45" s="172" t="s">
        <v>110</v>
      </c>
      <c r="H45" s="149"/>
      <c r="I45" s="172" t="s">
        <v>606</v>
      </c>
      <c r="J45" s="149"/>
      <c r="K45" s="172" t="s">
        <v>607</v>
      </c>
      <c r="L45" s="149"/>
      <c r="M45" s="174"/>
      <c r="N45" s="175" t="s">
        <v>608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Experiencia de Usuario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>
      <c r="A48" s="107" t="s">
        <v>86</v>
      </c>
      <c r="B48" s="140"/>
      <c r="C48" s="163"/>
      <c r="D48" s="146" t="str">
        <f>'Experiencia de usuario'!A4</f>
        <v>Se requiere que la aplicación minimice la cantidad de pasos necesarios para realizar las tareas más frecuentes.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609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610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>
      <c r="A52" s="105" t="s">
        <v>93</v>
      </c>
      <c r="B52" s="167"/>
      <c r="C52" s="168"/>
      <c r="D52" s="169" t="s">
        <v>611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</row>
    <row r="53" spans="1:15" ht="32.25" customHeight="1">
      <c r="A53" s="102" t="s">
        <v>95</v>
      </c>
      <c r="B53" s="142"/>
      <c r="C53" s="143"/>
      <c r="D53" s="146" t="s">
        <v>612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 ht="15" customHeight="1">
      <c r="A54" s="102" t="s">
        <v>97</v>
      </c>
      <c r="B54" s="142"/>
      <c r="C54" s="143"/>
      <c r="D54" s="146" t="s">
        <v>613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</row>
    <row r="56" spans="1:15" ht="71.25" customHeight="1">
      <c r="A56" s="172" t="s">
        <v>2</v>
      </c>
      <c r="B56" s="149"/>
      <c r="C56" s="172" t="s">
        <v>614</v>
      </c>
      <c r="D56" s="149"/>
      <c r="E56" s="172" t="s">
        <v>109</v>
      </c>
      <c r="F56" s="149"/>
      <c r="G56" s="172" t="s">
        <v>110</v>
      </c>
      <c r="H56" s="149"/>
      <c r="I56" s="172" t="s">
        <v>615</v>
      </c>
      <c r="J56" s="149"/>
      <c r="K56" s="172" t="s">
        <v>616</v>
      </c>
      <c r="L56" s="149"/>
      <c r="M56" s="174"/>
      <c r="N56" s="175" t="s">
        <v>617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Experiencia de Usuario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>
      <c r="A59" s="107" t="s">
        <v>86</v>
      </c>
      <c r="B59" s="140"/>
      <c r="C59" s="163"/>
      <c r="D59" s="146" t="str">
        <f>'Experiencia de usuario'!A4</f>
        <v>Se requiere que la aplicación minimice la cantidad de pasos necesarios para realizar las tareas más frecuentes.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618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619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 ht="30" customHeight="1">
      <c r="A63" s="105" t="s">
        <v>93</v>
      </c>
      <c r="B63" s="167"/>
      <c r="C63" s="168"/>
      <c r="D63" s="169" t="s">
        <v>620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</row>
    <row r="64" spans="1:15" ht="45.75" customHeight="1">
      <c r="A64" s="102" t="s">
        <v>95</v>
      </c>
      <c r="B64" s="142"/>
      <c r="C64" s="143"/>
      <c r="D64" s="146" t="s">
        <v>621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>
      <c r="A65" s="102" t="s">
        <v>97</v>
      </c>
      <c r="B65" s="142"/>
      <c r="C65" s="143"/>
      <c r="D65" s="146" t="s">
        <v>622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60.75" customHeight="1">
      <c r="A67" s="172" t="s">
        <v>2</v>
      </c>
      <c r="B67" s="149"/>
      <c r="C67" s="172" t="s">
        <v>623</v>
      </c>
      <c r="D67" s="149"/>
      <c r="E67" s="172" t="s">
        <v>109</v>
      </c>
      <c r="F67" s="149"/>
      <c r="G67" s="172" t="s">
        <v>110</v>
      </c>
      <c r="H67" s="149"/>
      <c r="I67" s="172" t="s">
        <v>624</v>
      </c>
      <c r="J67" s="149"/>
      <c r="K67" s="172" t="s">
        <v>625</v>
      </c>
      <c r="L67" s="149"/>
      <c r="M67" s="174"/>
      <c r="N67" s="175" t="s">
        <v>626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Experiencia de Usuario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19.5" customHeight="1">
      <c r="A70" s="107" t="s">
        <v>86</v>
      </c>
      <c r="B70" s="140"/>
      <c r="C70" s="163"/>
      <c r="D70" s="146" t="str">
        <f>'Experiencia de usuario'!A5</f>
        <v>Se requiere que la aplicación evite sobrecargar la interfaz con elementos innecesarios que dificulten la interacción.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627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628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 ht="18" customHeight="1">
      <c r="A74" s="105" t="s">
        <v>93</v>
      </c>
      <c r="B74" s="167"/>
      <c r="C74" s="168"/>
      <c r="D74" s="169" t="s">
        <v>629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/>
      <c r="O74" s="86"/>
    </row>
    <row r="75" spans="1:15" ht="30" customHeight="1">
      <c r="A75" s="102" t="s">
        <v>95</v>
      </c>
      <c r="B75" s="142"/>
      <c r="C75" s="143"/>
      <c r="D75" s="146" t="s">
        <v>630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15" customHeight="1">
      <c r="A76" s="102" t="s">
        <v>97</v>
      </c>
      <c r="B76" s="142"/>
      <c r="C76" s="143"/>
      <c r="D76" s="181" t="s">
        <v>631</v>
      </c>
      <c r="E76" s="182"/>
      <c r="F76" s="182"/>
      <c r="G76" s="182"/>
      <c r="H76" s="182"/>
      <c r="I76" s="182"/>
      <c r="J76" s="182"/>
      <c r="K76" s="182"/>
      <c r="L76" s="182"/>
      <c r="M76" s="182"/>
      <c r="N76" s="183"/>
      <c r="O76" s="86"/>
    </row>
    <row r="77" spans="1:15" ht="30.75" customHeight="1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2" t="s">
        <v>106</v>
      </c>
      <c r="O77" s="86"/>
    </row>
    <row r="78" spans="1:15" ht="80.25" customHeight="1">
      <c r="A78" s="172" t="s">
        <v>2</v>
      </c>
      <c r="B78" s="149"/>
      <c r="C78" s="172" t="s">
        <v>632</v>
      </c>
      <c r="D78" s="149"/>
      <c r="E78" s="172" t="s">
        <v>109</v>
      </c>
      <c r="F78" s="149"/>
      <c r="G78" s="172" t="s">
        <v>110</v>
      </c>
      <c r="H78" s="149"/>
      <c r="I78" s="172" t="s">
        <v>633</v>
      </c>
      <c r="J78" s="149"/>
      <c r="K78" s="172" t="s">
        <v>634</v>
      </c>
      <c r="L78" s="149"/>
      <c r="M78" s="174"/>
      <c r="N78" s="175" t="s">
        <v>635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Experiencia de Usuario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 ht="18" customHeight="1">
      <c r="A81" s="107" t="s">
        <v>86</v>
      </c>
      <c r="B81" s="140"/>
      <c r="C81" s="163"/>
      <c r="D81" s="146" t="str">
        <f>'Experiencia de usuario'!A5</f>
        <v>Se requiere que la aplicación evite sobrecargar la interfaz con elementos innecesarios que dificulten la interacción.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636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>
      <c r="A83" s="104" t="s">
        <v>89</v>
      </c>
      <c r="B83" s="144"/>
      <c r="C83" s="166"/>
      <c r="D83" s="141" t="s">
        <v>637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104" t="s">
        <v>91</v>
      </c>
      <c r="B84" s="144"/>
      <c r="C84" s="166"/>
      <c r="D84" s="141" t="s">
        <v>116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 ht="27.75" customHeight="1">
      <c r="A85" s="105" t="s">
        <v>93</v>
      </c>
      <c r="B85" s="167"/>
      <c r="C85" s="168"/>
      <c r="D85" s="169" t="s">
        <v>638</v>
      </c>
      <c r="E85" s="170"/>
      <c r="F85" s="170"/>
      <c r="G85" s="170"/>
      <c r="H85" s="170"/>
      <c r="I85" s="170"/>
      <c r="J85" s="170"/>
      <c r="K85" s="170"/>
      <c r="L85" s="170"/>
      <c r="M85" s="170"/>
      <c r="N85" s="171"/>
      <c r="O85" s="86"/>
    </row>
    <row r="86" spans="1:15" ht="28.5" customHeight="1">
      <c r="A86" s="102" t="s">
        <v>95</v>
      </c>
      <c r="B86" s="142"/>
      <c r="C86" s="143"/>
      <c r="D86" s="146" t="s">
        <v>639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3"/>
      <c r="O86" s="86"/>
    </row>
    <row r="87" spans="1:15">
      <c r="A87" s="102" t="s">
        <v>97</v>
      </c>
      <c r="B87" s="142"/>
      <c r="C87" s="143"/>
      <c r="D87" s="146" t="s">
        <v>640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 ht="30.75" customHeight="1">
      <c r="A88" s="103" t="s">
        <v>99</v>
      </c>
      <c r="B88" s="147"/>
      <c r="C88" s="103" t="s">
        <v>100</v>
      </c>
      <c r="D88" s="147"/>
      <c r="E88" s="103" t="s">
        <v>101</v>
      </c>
      <c r="F88" s="147"/>
      <c r="G88" s="103" t="s">
        <v>102</v>
      </c>
      <c r="H88" s="147"/>
      <c r="I88" s="103" t="s">
        <v>103</v>
      </c>
      <c r="J88" s="147"/>
      <c r="K88" s="103" t="s">
        <v>104</v>
      </c>
      <c r="L88" s="147"/>
      <c r="M88" s="61" t="s">
        <v>105</v>
      </c>
      <c r="N88" s="62" t="s">
        <v>106</v>
      </c>
      <c r="O88" s="86"/>
    </row>
    <row r="89" spans="1:15" ht="66" customHeight="1">
      <c r="A89" s="172" t="s">
        <v>586</v>
      </c>
      <c r="B89" s="149"/>
      <c r="C89" s="172" t="s">
        <v>641</v>
      </c>
      <c r="D89" s="149"/>
      <c r="E89" s="172" t="s">
        <v>109</v>
      </c>
      <c r="F89" s="149"/>
      <c r="G89" s="172" t="s">
        <v>110</v>
      </c>
      <c r="H89" s="149"/>
      <c r="I89" s="172" t="s">
        <v>642</v>
      </c>
      <c r="J89" s="149"/>
      <c r="K89" s="172" t="s">
        <v>643</v>
      </c>
      <c r="L89" s="149"/>
      <c r="M89" s="174"/>
      <c r="N89" s="175" t="s">
        <v>644</v>
      </c>
      <c r="O89" s="86"/>
    </row>
    <row r="90" spans="1:1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>
      <c r="A91" s="106" t="s">
        <v>85</v>
      </c>
      <c r="B91" s="160"/>
      <c r="C91" s="161"/>
      <c r="D91" s="141" t="str">
        <f>$A$1</f>
        <v>Experiencia de Usuario</v>
      </c>
      <c r="E91" s="142"/>
      <c r="F91" s="142"/>
      <c r="G91" s="142"/>
      <c r="H91" s="142"/>
      <c r="I91" s="142"/>
      <c r="J91" s="142"/>
      <c r="K91" s="142"/>
      <c r="L91" s="142"/>
      <c r="M91" s="142"/>
      <c r="N91" s="143"/>
      <c r="O91" s="86"/>
    </row>
    <row r="92" spans="1:15" ht="18.75" customHeight="1">
      <c r="A92" s="107" t="s">
        <v>86</v>
      </c>
      <c r="B92" s="140"/>
      <c r="C92" s="163"/>
      <c r="D92" s="146" t="str">
        <f>'Experiencia de usuario'!A6</f>
        <v>Se requiere que la aplicación presente textos descriptivos y labels claros en cada sección, guiando al piloto sobre la función de cada elemento de la interfaz.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04" t="s">
        <v>87</v>
      </c>
      <c r="B93" s="144"/>
      <c r="C93" s="166"/>
      <c r="D93" s="141" t="s">
        <v>645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>
      <c r="A94" s="104" t="s">
        <v>89</v>
      </c>
      <c r="B94" s="144"/>
      <c r="C94" s="166"/>
      <c r="D94" s="141" t="s">
        <v>646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104" t="s">
        <v>91</v>
      </c>
      <c r="B95" s="144"/>
      <c r="C95" s="166"/>
      <c r="D95" s="141" t="s">
        <v>92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>
      <c r="A96" s="105" t="s">
        <v>93</v>
      </c>
      <c r="B96" s="167"/>
      <c r="C96" s="168"/>
      <c r="D96" s="169" t="s">
        <v>647</v>
      </c>
      <c r="E96" s="170"/>
      <c r="F96" s="170"/>
      <c r="G96" s="170"/>
      <c r="H96" s="170"/>
      <c r="I96" s="170"/>
      <c r="J96" s="170"/>
      <c r="K96" s="170"/>
      <c r="L96" s="170"/>
      <c r="M96" s="170"/>
      <c r="N96" s="171"/>
      <c r="O96" s="86"/>
    </row>
    <row r="97" spans="1:15" ht="32.25" customHeight="1">
      <c r="A97" s="102" t="s">
        <v>95</v>
      </c>
      <c r="B97" s="142"/>
      <c r="C97" s="143"/>
      <c r="D97" s="146" t="s">
        <v>648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3"/>
      <c r="O97" s="86"/>
    </row>
    <row r="98" spans="1:15">
      <c r="A98" s="102" t="s">
        <v>97</v>
      </c>
      <c r="B98" s="142"/>
      <c r="C98" s="143"/>
      <c r="D98" s="181" t="s">
        <v>649</v>
      </c>
      <c r="E98" s="182"/>
      <c r="F98" s="182"/>
      <c r="G98" s="182"/>
      <c r="H98" s="182"/>
      <c r="I98" s="182"/>
      <c r="J98" s="182"/>
      <c r="K98" s="182"/>
      <c r="L98" s="182"/>
      <c r="M98" s="182"/>
      <c r="N98" s="183"/>
      <c r="O98" s="86"/>
    </row>
    <row r="99" spans="1:15" ht="30.75" customHeight="1">
      <c r="A99" s="103" t="s">
        <v>99</v>
      </c>
      <c r="B99" s="147"/>
      <c r="C99" s="103" t="s">
        <v>100</v>
      </c>
      <c r="D99" s="147"/>
      <c r="E99" s="103" t="s">
        <v>101</v>
      </c>
      <c r="F99" s="147"/>
      <c r="G99" s="103" t="s">
        <v>102</v>
      </c>
      <c r="H99" s="147"/>
      <c r="I99" s="103" t="s">
        <v>103</v>
      </c>
      <c r="J99" s="147"/>
      <c r="K99" s="103" t="s">
        <v>104</v>
      </c>
      <c r="L99" s="147"/>
      <c r="M99" s="61" t="s">
        <v>105</v>
      </c>
      <c r="N99" s="62" t="s">
        <v>106</v>
      </c>
      <c r="O99" s="86"/>
    </row>
    <row r="100" spans="1:15" ht="80.25" customHeight="1">
      <c r="A100" s="172" t="s">
        <v>2</v>
      </c>
      <c r="B100" s="149"/>
      <c r="C100" s="172" t="s">
        <v>650</v>
      </c>
      <c r="D100" s="149"/>
      <c r="E100" s="172" t="s">
        <v>109</v>
      </c>
      <c r="F100" s="149"/>
      <c r="G100" s="172" t="s">
        <v>110</v>
      </c>
      <c r="H100" s="149"/>
      <c r="I100" s="172" t="s">
        <v>651</v>
      </c>
      <c r="J100" s="149"/>
      <c r="K100" s="172" t="s">
        <v>652</v>
      </c>
      <c r="L100" s="149"/>
      <c r="M100" s="174"/>
      <c r="N100" s="175" t="s">
        <v>653</v>
      </c>
      <c r="O100" s="86"/>
    </row>
    <row r="101" spans="1:1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</row>
    <row r="102" spans="1:15">
      <c r="A102" s="106" t="s">
        <v>85</v>
      </c>
      <c r="B102" s="160"/>
      <c r="C102" s="161"/>
      <c r="D102" s="141" t="str">
        <f>$A$1</f>
        <v>Experiencia de Usuario</v>
      </c>
      <c r="E102" s="142"/>
      <c r="F102" s="142"/>
      <c r="G102" s="142"/>
      <c r="H102" s="142"/>
      <c r="I102" s="142"/>
      <c r="J102" s="142"/>
      <c r="K102" s="142"/>
      <c r="L102" s="142"/>
      <c r="M102" s="142"/>
      <c r="N102" s="143"/>
      <c r="O102" s="86"/>
    </row>
    <row r="103" spans="1:15" ht="18" customHeight="1">
      <c r="A103" s="107" t="s">
        <v>86</v>
      </c>
      <c r="B103" s="140"/>
      <c r="C103" s="163"/>
      <c r="D103" s="146" t="str">
        <f>'Experiencia de usuario'!A6</f>
        <v>Se requiere que la aplicación presente textos descriptivos y labels claros en cada sección, guiando al piloto sobre la función de cada elemento de la interfaz.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86"/>
    </row>
    <row r="104" spans="1:15">
      <c r="A104" s="104" t="s">
        <v>87</v>
      </c>
      <c r="B104" s="144"/>
      <c r="C104" s="166"/>
      <c r="D104" s="141" t="s">
        <v>654</v>
      </c>
      <c r="E104" s="142"/>
      <c r="F104" s="142"/>
      <c r="G104" s="142"/>
      <c r="H104" s="142"/>
      <c r="I104" s="142"/>
      <c r="J104" s="142"/>
      <c r="K104" s="142"/>
      <c r="L104" s="142"/>
      <c r="M104" s="142"/>
      <c r="N104" s="143"/>
      <c r="O104" s="86"/>
    </row>
    <row r="105" spans="1:15">
      <c r="A105" s="104" t="s">
        <v>89</v>
      </c>
      <c r="B105" s="144"/>
      <c r="C105" s="166"/>
      <c r="D105" s="141" t="s">
        <v>655</v>
      </c>
      <c r="E105" s="142"/>
      <c r="F105" s="142"/>
      <c r="G105" s="142"/>
      <c r="H105" s="142"/>
      <c r="I105" s="142"/>
      <c r="J105" s="142"/>
      <c r="K105" s="142"/>
      <c r="L105" s="142"/>
      <c r="M105" s="142"/>
      <c r="N105" s="143"/>
      <c r="O105" s="86"/>
    </row>
    <row r="106" spans="1:15">
      <c r="A106" s="104" t="s">
        <v>91</v>
      </c>
      <c r="B106" s="144"/>
      <c r="C106" s="166"/>
      <c r="D106" s="141" t="s">
        <v>116</v>
      </c>
      <c r="E106" s="142"/>
      <c r="F106" s="142"/>
      <c r="G106" s="142"/>
      <c r="H106" s="142"/>
      <c r="I106" s="142"/>
      <c r="J106" s="142"/>
      <c r="K106" s="142"/>
      <c r="L106" s="142"/>
      <c r="M106" s="142"/>
      <c r="N106" s="143"/>
      <c r="O106" s="86"/>
    </row>
    <row r="107" spans="1:15" ht="27.75" customHeight="1">
      <c r="A107" s="105" t="s">
        <v>93</v>
      </c>
      <c r="B107" s="167"/>
      <c r="C107" s="168"/>
      <c r="D107" s="169" t="s">
        <v>656</v>
      </c>
      <c r="E107" s="170"/>
      <c r="F107" s="170"/>
      <c r="G107" s="170"/>
      <c r="H107" s="170"/>
      <c r="I107" s="170"/>
      <c r="J107" s="170"/>
      <c r="K107" s="170"/>
      <c r="L107" s="170"/>
      <c r="M107" s="170"/>
      <c r="N107" s="171"/>
      <c r="O107" s="86"/>
    </row>
    <row r="108" spans="1:15" ht="45.75" customHeight="1">
      <c r="A108" s="102" t="s">
        <v>95</v>
      </c>
      <c r="B108" s="142"/>
      <c r="C108" s="143"/>
      <c r="D108" s="146" t="s">
        <v>657</v>
      </c>
      <c r="E108" s="142"/>
      <c r="F108" s="142"/>
      <c r="G108" s="142"/>
      <c r="H108" s="142"/>
      <c r="I108" s="142"/>
      <c r="J108" s="142"/>
      <c r="K108" s="142"/>
      <c r="L108" s="142"/>
      <c r="M108" s="142"/>
      <c r="N108" s="143"/>
      <c r="O108" s="86"/>
    </row>
    <row r="109" spans="1:15" ht="15" customHeight="1">
      <c r="A109" s="102" t="s">
        <v>97</v>
      </c>
      <c r="B109" s="142"/>
      <c r="C109" s="143"/>
      <c r="D109" s="146" t="s">
        <v>658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3"/>
      <c r="O109" s="86"/>
    </row>
    <row r="110" spans="1:15" ht="30.75" customHeight="1">
      <c r="A110" s="103" t="s">
        <v>99</v>
      </c>
      <c r="B110" s="147"/>
      <c r="C110" s="103" t="s">
        <v>100</v>
      </c>
      <c r="D110" s="147"/>
      <c r="E110" s="103" t="s">
        <v>101</v>
      </c>
      <c r="F110" s="147"/>
      <c r="G110" s="103" t="s">
        <v>102</v>
      </c>
      <c r="H110" s="147"/>
      <c r="I110" s="103" t="s">
        <v>103</v>
      </c>
      <c r="J110" s="147"/>
      <c r="K110" s="103" t="s">
        <v>104</v>
      </c>
      <c r="L110" s="147"/>
      <c r="M110" s="61" t="s">
        <v>105</v>
      </c>
      <c r="N110" s="62" t="s">
        <v>106</v>
      </c>
      <c r="O110" s="86"/>
    </row>
    <row r="111" spans="1:15" ht="79.5" customHeight="1">
      <c r="A111" s="172" t="s">
        <v>2</v>
      </c>
      <c r="B111" s="149"/>
      <c r="C111" s="172" t="s">
        <v>632</v>
      </c>
      <c r="D111" s="149"/>
      <c r="E111" s="172" t="s">
        <v>109</v>
      </c>
      <c r="F111" s="149"/>
      <c r="G111" s="172" t="s">
        <v>110</v>
      </c>
      <c r="H111" s="149"/>
      <c r="I111" s="172" t="s">
        <v>659</v>
      </c>
      <c r="J111" s="149"/>
      <c r="K111" s="172" t="s">
        <v>660</v>
      </c>
      <c r="L111" s="149"/>
      <c r="M111" s="174"/>
      <c r="N111" s="175" t="s">
        <v>661</v>
      </c>
      <c r="O111" s="86"/>
    </row>
    <row r="112" spans="1:1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</row>
    <row r="113" spans="1:15">
      <c r="A113" s="106" t="s">
        <v>85</v>
      </c>
      <c r="B113" s="160"/>
      <c r="C113" s="161"/>
      <c r="D113" s="141" t="str">
        <f>$A$1</f>
        <v>Experiencia de Usuario</v>
      </c>
      <c r="E113" s="142"/>
      <c r="F113" s="142"/>
      <c r="G113" s="142"/>
      <c r="H113" s="142"/>
      <c r="I113" s="142"/>
      <c r="J113" s="142"/>
      <c r="K113" s="142"/>
      <c r="L113" s="142"/>
      <c r="M113" s="142"/>
      <c r="N113" s="143"/>
      <c r="O113" s="86"/>
    </row>
    <row r="114" spans="1:15">
      <c r="A114" s="107" t="s">
        <v>86</v>
      </c>
      <c r="B114" s="140"/>
      <c r="C114" s="163"/>
      <c r="D114" s="146" t="str">
        <f>'Experiencia de usuario'!A7</f>
        <v>Se requiere que la aplicación cuente con tiempos de respuesta ágiles, evitando retrasos que generen frustración en la experiencia del usuario.</v>
      </c>
      <c r="E114" s="142"/>
      <c r="F114" s="142"/>
      <c r="G114" s="142"/>
      <c r="H114" s="142"/>
      <c r="I114" s="142"/>
      <c r="J114" s="142"/>
      <c r="K114" s="142"/>
      <c r="L114" s="142"/>
      <c r="M114" s="142"/>
      <c r="N114" s="143"/>
      <c r="O114" s="86"/>
    </row>
    <row r="115" spans="1:15">
      <c r="A115" s="104" t="s">
        <v>87</v>
      </c>
      <c r="B115" s="144"/>
      <c r="C115" s="166"/>
      <c r="D115" s="141" t="s">
        <v>662</v>
      </c>
      <c r="E115" s="142"/>
      <c r="F115" s="142"/>
      <c r="G115" s="142"/>
      <c r="H115" s="142"/>
      <c r="I115" s="142"/>
      <c r="J115" s="142"/>
      <c r="K115" s="142"/>
      <c r="L115" s="142"/>
      <c r="M115" s="142"/>
      <c r="N115" s="143"/>
      <c r="O115" s="86"/>
    </row>
    <row r="116" spans="1:15">
      <c r="A116" s="104" t="s">
        <v>89</v>
      </c>
      <c r="B116" s="144"/>
      <c r="C116" s="166"/>
      <c r="D116" s="141" t="s">
        <v>663</v>
      </c>
      <c r="E116" s="142"/>
      <c r="F116" s="142"/>
      <c r="G116" s="142"/>
      <c r="H116" s="142"/>
      <c r="I116" s="142"/>
      <c r="J116" s="142"/>
      <c r="K116" s="142"/>
      <c r="L116" s="142"/>
      <c r="M116" s="142"/>
      <c r="N116" s="143"/>
      <c r="O116" s="86"/>
    </row>
    <row r="117" spans="1:15">
      <c r="A117" s="104" t="s">
        <v>91</v>
      </c>
      <c r="B117" s="144"/>
      <c r="C117" s="166"/>
      <c r="D117" s="141" t="s">
        <v>92</v>
      </c>
      <c r="E117" s="142"/>
      <c r="F117" s="142"/>
      <c r="G117" s="142"/>
      <c r="H117" s="142"/>
      <c r="I117" s="142"/>
      <c r="J117" s="142"/>
      <c r="K117" s="142"/>
      <c r="L117" s="142"/>
      <c r="M117" s="142"/>
      <c r="N117" s="143"/>
      <c r="O117" s="86"/>
    </row>
    <row r="118" spans="1:15" ht="24" customHeight="1">
      <c r="A118" s="105" t="s">
        <v>93</v>
      </c>
      <c r="B118" s="167"/>
      <c r="C118" s="168"/>
      <c r="D118" s="169" t="s">
        <v>664</v>
      </c>
      <c r="E118" s="170"/>
      <c r="F118" s="170"/>
      <c r="G118" s="170"/>
      <c r="H118" s="170"/>
      <c r="I118" s="170"/>
      <c r="J118" s="170"/>
      <c r="K118" s="170"/>
      <c r="L118" s="170"/>
      <c r="M118" s="170"/>
      <c r="N118" s="171"/>
      <c r="O118" s="86"/>
    </row>
    <row r="119" spans="1:15" ht="30" customHeight="1">
      <c r="A119" s="102" t="s">
        <v>95</v>
      </c>
      <c r="B119" s="142"/>
      <c r="C119" s="143"/>
      <c r="D119" s="146" t="s">
        <v>665</v>
      </c>
      <c r="E119" s="142"/>
      <c r="F119" s="142"/>
      <c r="G119" s="142"/>
      <c r="H119" s="142"/>
      <c r="I119" s="142"/>
      <c r="J119" s="142"/>
      <c r="K119" s="142"/>
      <c r="L119" s="142"/>
      <c r="M119" s="142"/>
      <c r="N119" s="143"/>
      <c r="O119" s="86"/>
    </row>
    <row r="120" spans="1:15" ht="15" customHeight="1">
      <c r="A120" s="102" t="s">
        <v>97</v>
      </c>
      <c r="B120" s="142"/>
      <c r="C120" s="143"/>
      <c r="D120" s="181" t="s">
        <v>666</v>
      </c>
      <c r="E120" s="182"/>
      <c r="F120" s="182"/>
      <c r="G120" s="182"/>
      <c r="H120" s="182"/>
      <c r="I120" s="182"/>
      <c r="J120" s="182"/>
      <c r="K120" s="182"/>
      <c r="L120" s="182"/>
      <c r="M120" s="182"/>
      <c r="N120" s="183"/>
      <c r="O120" s="86"/>
    </row>
    <row r="121" spans="1:15" ht="33" customHeight="1">
      <c r="A121" s="103" t="s">
        <v>99</v>
      </c>
      <c r="B121" s="147"/>
      <c r="C121" s="103" t="s">
        <v>100</v>
      </c>
      <c r="D121" s="147"/>
      <c r="E121" s="103" t="s">
        <v>101</v>
      </c>
      <c r="F121" s="147"/>
      <c r="G121" s="103" t="s">
        <v>102</v>
      </c>
      <c r="H121" s="147"/>
      <c r="I121" s="103" t="s">
        <v>103</v>
      </c>
      <c r="J121" s="147"/>
      <c r="K121" s="103" t="s">
        <v>104</v>
      </c>
      <c r="L121" s="147"/>
      <c r="M121" s="61" t="s">
        <v>105</v>
      </c>
      <c r="N121" s="62" t="s">
        <v>106</v>
      </c>
      <c r="O121" s="86"/>
    </row>
    <row r="122" spans="1:15" ht="82.5" customHeight="1">
      <c r="A122" s="172" t="s">
        <v>2</v>
      </c>
      <c r="B122" s="149"/>
      <c r="C122" s="172" t="s">
        <v>667</v>
      </c>
      <c r="D122" s="149"/>
      <c r="E122" s="172" t="s">
        <v>109</v>
      </c>
      <c r="F122" s="149"/>
      <c r="G122" s="172" t="s">
        <v>110</v>
      </c>
      <c r="H122" s="149"/>
      <c r="I122" s="172" t="s">
        <v>668</v>
      </c>
      <c r="J122" s="149"/>
      <c r="K122" s="172" t="s">
        <v>505</v>
      </c>
      <c r="L122" s="149"/>
      <c r="M122" s="174"/>
      <c r="N122" s="175" t="s">
        <v>669</v>
      </c>
      <c r="O122" s="86"/>
    </row>
    <row r="123" spans="1:1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</row>
    <row r="124" spans="1:15">
      <c r="A124" s="106" t="s">
        <v>85</v>
      </c>
      <c r="B124" s="160"/>
      <c r="C124" s="161"/>
      <c r="D124" s="141" t="str">
        <f>$A$1</f>
        <v>Experiencia de Usuario</v>
      </c>
      <c r="E124" s="142"/>
      <c r="F124" s="142"/>
      <c r="G124" s="142"/>
      <c r="H124" s="142"/>
      <c r="I124" s="142"/>
      <c r="J124" s="142"/>
      <c r="K124" s="142"/>
      <c r="L124" s="142"/>
      <c r="M124" s="142"/>
      <c r="N124" s="143"/>
      <c r="O124" s="86"/>
    </row>
    <row r="125" spans="1:15">
      <c r="A125" s="107" t="s">
        <v>86</v>
      </c>
      <c r="B125" s="140"/>
      <c r="C125" s="163"/>
      <c r="D125" s="146" t="str">
        <f>'Experiencia de usuario'!A7</f>
        <v>Se requiere que la aplicación cuente con tiempos de respuesta ágiles, evitando retrasos que generen frustración en la experiencia del usuario.</v>
      </c>
      <c r="E125" s="142"/>
      <c r="F125" s="142"/>
      <c r="G125" s="142"/>
      <c r="H125" s="142"/>
      <c r="I125" s="142"/>
      <c r="J125" s="142"/>
      <c r="K125" s="142"/>
      <c r="L125" s="142"/>
      <c r="M125" s="142"/>
      <c r="N125" s="143"/>
      <c r="O125" s="86"/>
    </row>
    <row r="126" spans="1:15">
      <c r="A126" s="104" t="s">
        <v>87</v>
      </c>
      <c r="B126" s="144"/>
      <c r="C126" s="166"/>
      <c r="D126" s="141" t="s">
        <v>670</v>
      </c>
      <c r="E126" s="142"/>
      <c r="F126" s="142"/>
      <c r="G126" s="142"/>
      <c r="H126" s="142"/>
      <c r="I126" s="142"/>
      <c r="J126" s="142"/>
      <c r="K126" s="142"/>
      <c r="L126" s="142"/>
      <c r="M126" s="142"/>
      <c r="N126" s="143"/>
      <c r="O126" s="86"/>
    </row>
    <row r="127" spans="1:15">
      <c r="A127" s="104" t="s">
        <v>89</v>
      </c>
      <c r="B127" s="144"/>
      <c r="C127" s="166"/>
      <c r="D127" s="141" t="s">
        <v>671</v>
      </c>
      <c r="E127" s="142"/>
      <c r="F127" s="142"/>
      <c r="G127" s="142"/>
      <c r="H127" s="142"/>
      <c r="I127" s="142"/>
      <c r="J127" s="142"/>
      <c r="K127" s="142"/>
      <c r="L127" s="142"/>
      <c r="M127" s="142"/>
      <c r="N127" s="143"/>
      <c r="O127" s="86"/>
    </row>
    <row r="128" spans="1:15">
      <c r="A128" s="104" t="s">
        <v>91</v>
      </c>
      <c r="B128" s="144"/>
      <c r="C128" s="166"/>
      <c r="D128" s="141" t="s">
        <v>116</v>
      </c>
      <c r="E128" s="142"/>
      <c r="F128" s="142"/>
      <c r="G128" s="142"/>
      <c r="H128" s="142"/>
      <c r="I128" s="142"/>
      <c r="J128" s="142"/>
      <c r="K128" s="142"/>
      <c r="L128" s="142"/>
      <c r="M128" s="142"/>
      <c r="N128" s="143"/>
      <c r="O128" s="86"/>
    </row>
    <row r="129" spans="1:15" ht="15" customHeight="1">
      <c r="A129" s="105" t="s">
        <v>93</v>
      </c>
      <c r="B129" s="167"/>
      <c r="C129" s="168"/>
      <c r="D129" s="169" t="s">
        <v>672</v>
      </c>
      <c r="E129" s="170"/>
      <c r="F129" s="170"/>
      <c r="G129" s="170"/>
      <c r="H129" s="170"/>
      <c r="I129" s="170"/>
      <c r="J129" s="170"/>
      <c r="K129" s="170"/>
      <c r="L129" s="170"/>
      <c r="M129" s="170"/>
      <c r="N129" s="171"/>
      <c r="O129" s="86"/>
    </row>
    <row r="130" spans="1:15" ht="30.75" customHeight="1">
      <c r="A130" s="102" t="s">
        <v>95</v>
      </c>
      <c r="B130" s="142"/>
      <c r="C130" s="143"/>
      <c r="D130" s="146" t="s">
        <v>673</v>
      </c>
      <c r="E130" s="142"/>
      <c r="F130" s="142"/>
      <c r="G130" s="142"/>
      <c r="H130" s="142"/>
      <c r="I130" s="142"/>
      <c r="J130" s="142"/>
      <c r="K130" s="142"/>
      <c r="L130" s="142"/>
      <c r="M130" s="142"/>
      <c r="N130" s="143"/>
      <c r="O130" s="86"/>
    </row>
    <row r="131" spans="1:15" ht="15" customHeight="1">
      <c r="A131" s="102" t="s">
        <v>97</v>
      </c>
      <c r="B131" s="142"/>
      <c r="C131" s="143"/>
      <c r="D131" s="146" t="s">
        <v>674</v>
      </c>
      <c r="E131" s="142"/>
      <c r="F131" s="142"/>
      <c r="G131" s="142"/>
      <c r="H131" s="142"/>
      <c r="I131" s="142"/>
      <c r="J131" s="142"/>
      <c r="K131" s="142"/>
      <c r="L131" s="142"/>
      <c r="M131" s="142"/>
      <c r="N131" s="143"/>
      <c r="O131" s="86"/>
    </row>
    <row r="132" spans="1:15" ht="33.75" customHeight="1">
      <c r="A132" s="103" t="s">
        <v>99</v>
      </c>
      <c r="B132" s="147"/>
      <c r="C132" s="103" t="s">
        <v>100</v>
      </c>
      <c r="D132" s="147"/>
      <c r="E132" s="103" t="s">
        <v>101</v>
      </c>
      <c r="F132" s="147"/>
      <c r="G132" s="103" t="s">
        <v>102</v>
      </c>
      <c r="H132" s="147"/>
      <c r="I132" s="103" t="s">
        <v>103</v>
      </c>
      <c r="J132" s="147"/>
      <c r="K132" s="103" t="s">
        <v>104</v>
      </c>
      <c r="L132" s="147"/>
      <c r="M132" s="61" t="s">
        <v>105</v>
      </c>
      <c r="N132" s="62" t="s">
        <v>106</v>
      </c>
      <c r="O132" s="86"/>
    </row>
    <row r="133" spans="1:15" ht="62.25" customHeight="1">
      <c r="A133" s="172" t="s">
        <v>2</v>
      </c>
      <c r="B133" s="149"/>
      <c r="C133" s="172" t="s">
        <v>675</v>
      </c>
      <c r="D133" s="149"/>
      <c r="E133" s="172" t="s">
        <v>109</v>
      </c>
      <c r="F133" s="149"/>
      <c r="G133" s="172" t="s">
        <v>110</v>
      </c>
      <c r="H133" s="149"/>
      <c r="I133" s="172" t="s">
        <v>676</v>
      </c>
      <c r="J133" s="149"/>
      <c r="K133" s="172" t="s">
        <v>677</v>
      </c>
      <c r="L133" s="149"/>
      <c r="M133" s="174"/>
      <c r="N133" s="175" t="s">
        <v>678</v>
      </c>
      <c r="O133" s="86"/>
    </row>
    <row r="134" spans="1:1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</row>
    <row r="135" spans="1:15">
      <c r="A135" s="106" t="s">
        <v>85</v>
      </c>
      <c r="B135" s="160"/>
      <c r="C135" s="161"/>
      <c r="D135" s="141" t="str">
        <f>$A$1</f>
        <v>Experiencia de Usuario</v>
      </c>
      <c r="E135" s="142"/>
      <c r="F135" s="142"/>
      <c r="G135" s="142"/>
      <c r="H135" s="142"/>
      <c r="I135" s="142"/>
      <c r="J135" s="142"/>
      <c r="K135" s="142"/>
      <c r="L135" s="142"/>
      <c r="M135" s="142"/>
      <c r="N135" s="143"/>
      <c r="O135" s="86"/>
    </row>
    <row r="136" spans="1:15" ht="24" customHeight="1">
      <c r="A136" s="107" t="s">
        <v>86</v>
      </c>
      <c r="B136" s="140"/>
      <c r="C136" s="163"/>
      <c r="D136" s="146" t="str">
        <f>'Experiencia de usuario'!A8</f>
        <v>Se requiere que la aplicación utilice tamaños de fuente legibles, colores de alto contraste y espaciado adecuado para garantizar una buena experiencia visual a todos los pilotos.</v>
      </c>
      <c r="E136" s="142"/>
      <c r="F136" s="142"/>
      <c r="G136" s="142"/>
      <c r="H136" s="142"/>
      <c r="I136" s="142"/>
      <c r="J136" s="142"/>
      <c r="K136" s="142"/>
      <c r="L136" s="142"/>
      <c r="M136" s="142"/>
      <c r="N136" s="143"/>
      <c r="O136" s="86"/>
    </row>
    <row r="137" spans="1:15">
      <c r="A137" s="104" t="s">
        <v>87</v>
      </c>
      <c r="B137" s="144"/>
      <c r="C137" s="166"/>
      <c r="D137" s="141" t="s">
        <v>679</v>
      </c>
      <c r="E137" s="142"/>
      <c r="F137" s="142"/>
      <c r="G137" s="142"/>
      <c r="H137" s="142"/>
      <c r="I137" s="142"/>
      <c r="J137" s="142"/>
      <c r="K137" s="142"/>
      <c r="L137" s="142"/>
      <c r="M137" s="142"/>
      <c r="N137" s="143"/>
      <c r="O137" s="86"/>
    </row>
    <row r="138" spans="1:15">
      <c r="A138" s="104" t="s">
        <v>89</v>
      </c>
      <c r="B138" s="144"/>
      <c r="C138" s="166"/>
      <c r="D138" s="141" t="s">
        <v>680</v>
      </c>
      <c r="E138" s="142"/>
      <c r="F138" s="142"/>
      <c r="G138" s="142"/>
      <c r="H138" s="142"/>
      <c r="I138" s="142"/>
      <c r="J138" s="142"/>
      <c r="K138" s="142"/>
      <c r="L138" s="142"/>
      <c r="M138" s="142"/>
      <c r="N138" s="143"/>
      <c r="O138" s="86"/>
    </row>
    <row r="139" spans="1:15">
      <c r="A139" s="104" t="s">
        <v>91</v>
      </c>
      <c r="B139" s="144"/>
      <c r="C139" s="166"/>
      <c r="D139" s="141" t="s">
        <v>92</v>
      </c>
      <c r="E139" s="142"/>
      <c r="F139" s="142"/>
      <c r="G139" s="142"/>
      <c r="H139" s="142"/>
      <c r="I139" s="142"/>
      <c r="J139" s="142"/>
      <c r="K139" s="142"/>
      <c r="L139" s="142"/>
      <c r="M139" s="142"/>
      <c r="N139" s="143"/>
      <c r="O139" s="86"/>
    </row>
    <row r="140" spans="1:15" ht="15" customHeight="1">
      <c r="A140" s="105" t="s">
        <v>93</v>
      </c>
      <c r="B140" s="167"/>
      <c r="C140" s="168"/>
      <c r="D140" s="169" t="s">
        <v>681</v>
      </c>
      <c r="E140" s="170"/>
      <c r="F140" s="170"/>
      <c r="G140" s="170"/>
      <c r="H140" s="170"/>
      <c r="I140" s="170"/>
      <c r="J140" s="170"/>
      <c r="K140" s="170"/>
      <c r="L140" s="170"/>
      <c r="M140" s="170"/>
      <c r="N140" s="171"/>
      <c r="O140" s="86"/>
    </row>
    <row r="141" spans="1:15" ht="28.5" customHeight="1">
      <c r="A141" s="102" t="s">
        <v>95</v>
      </c>
      <c r="B141" s="142"/>
      <c r="C141" s="143"/>
      <c r="D141" s="146" t="s">
        <v>682</v>
      </c>
      <c r="E141" s="142"/>
      <c r="F141" s="142"/>
      <c r="G141" s="142"/>
      <c r="H141" s="142"/>
      <c r="I141" s="142"/>
      <c r="J141" s="142"/>
      <c r="K141" s="142"/>
      <c r="L141" s="142"/>
      <c r="M141" s="142"/>
      <c r="N141" s="143"/>
      <c r="O141" s="86"/>
    </row>
    <row r="142" spans="1:15" ht="15" customHeight="1">
      <c r="A142" s="102" t="s">
        <v>97</v>
      </c>
      <c r="B142" s="142"/>
      <c r="C142" s="143"/>
      <c r="D142" s="181" t="s">
        <v>683</v>
      </c>
      <c r="E142" s="182"/>
      <c r="F142" s="182"/>
      <c r="G142" s="182"/>
      <c r="H142" s="182"/>
      <c r="I142" s="182"/>
      <c r="J142" s="182"/>
      <c r="K142" s="182"/>
      <c r="L142" s="182"/>
      <c r="M142" s="182"/>
      <c r="N142" s="183"/>
      <c r="O142" s="86"/>
    </row>
    <row r="143" spans="1:15" ht="33" customHeight="1">
      <c r="A143" s="103" t="s">
        <v>99</v>
      </c>
      <c r="B143" s="147"/>
      <c r="C143" s="103" t="s">
        <v>100</v>
      </c>
      <c r="D143" s="147"/>
      <c r="E143" s="103" t="s">
        <v>101</v>
      </c>
      <c r="F143" s="147"/>
      <c r="G143" s="103" t="s">
        <v>102</v>
      </c>
      <c r="H143" s="147"/>
      <c r="I143" s="103" t="s">
        <v>103</v>
      </c>
      <c r="J143" s="147"/>
      <c r="K143" s="103" t="s">
        <v>104</v>
      </c>
      <c r="L143" s="147"/>
      <c r="M143" s="61" t="s">
        <v>105</v>
      </c>
      <c r="N143" s="62" t="s">
        <v>106</v>
      </c>
      <c r="O143" s="86"/>
    </row>
    <row r="144" spans="1:15" ht="89.25" customHeight="1">
      <c r="A144" s="172" t="s">
        <v>2</v>
      </c>
      <c r="B144" s="149"/>
      <c r="C144" s="172" t="s">
        <v>684</v>
      </c>
      <c r="D144" s="149"/>
      <c r="E144" s="172" t="s">
        <v>109</v>
      </c>
      <c r="F144" s="149"/>
      <c r="G144" s="172" t="s">
        <v>110</v>
      </c>
      <c r="H144" s="149"/>
      <c r="I144" s="172" t="s">
        <v>685</v>
      </c>
      <c r="J144" s="149"/>
      <c r="K144" s="172" t="s">
        <v>686</v>
      </c>
      <c r="L144" s="149"/>
      <c r="M144" s="174"/>
      <c r="N144" s="175" t="s">
        <v>687</v>
      </c>
      <c r="O144" s="86"/>
    </row>
    <row r="145" spans="1:1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</row>
    <row r="146" spans="1:15">
      <c r="A146" s="106" t="s">
        <v>85</v>
      </c>
      <c r="B146" s="160"/>
      <c r="C146" s="161"/>
      <c r="D146" s="141" t="str">
        <f>$A$1</f>
        <v>Experiencia de Usuario</v>
      </c>
      <c r="E146" s="142"/>
      <c r="F146" s="142"/>
      <c r="G146" s="142"/>
      <c r="H146" s="142"/>
      <c r="I146" s="142"/>
      <c r="J146" s="142"/>
      <c r="K146" s="142"/>
      <c r="L146" s="142"/>
      <c r="M146" s="142"/>
      <c r="N146" s="143"/>
      <c r="O146" s="86"/>
    </row>
    <row r="147" spans="1:15" ht="30" customHeight="1">
      <c r="A147" s="107" t="s">
        <v>86</v>
      </c>
      <c r="B147" s="140"/>
      <c r="C147" s="163"/>
      <c r="D147" s="146" t="str">
        <f>'Experiencia de usuario'!A8</f>
        <v>Se requiere que la aplicación utilice tamaños de fuente legibles, colores de alto contraste y espaciado adecuado para garantizar una buena experiencia visual a todos los pilotos.</v>
      </c>
      <c r="E147" s="142"/>
      <c r="F147" s="142"/>
      <c r="G147" s="142"/>
      <c r="H147" s="142"/>
      <c r="I147" s="142"/>
      <c r="J147" s="142"/>
      <c r="K147" s="142"/>
      <c r="L147" s="142"/>
      <c r="M147" s="142"/>
      <c r="N147" s="143"/>
      <c r="O147" s="86"/>
    </row>
    <row r="148" spans="1:15">
      <c r="A148" s="104" t="s">
        <v>87</v>
      </c>
      <c r="B148" s="144"/>
      <c r="C148" s="166"/>
      <c r="D148" s="141" t="s">
        <v>688</v>
      </c>
      <c r="E148" s="142"/>
      <c r="F148" s="142"/>
      <c r="G148" s="142"/>
      <c r="H148" s="142"/>
      <c r="I148" s="142"/>
      <c r="J148" s="142"/>
      <c r="K148" s="142"/>
      <c r="L148" s="142"/>
      <c r="M148" s="142"/>
      <c r="N148" s="143"/>
      <c r="O148" s="86"/>
    </row>
    <row r="149" spans="1:15">
      <c r="A149" s="104" t="s">
        <v>89</v>
      </c>
      <c r="B149" s="144"/>
      <c r="C149" s="166"/>
      <c r="D149" s="141" t="s">
        <v>689</v>
      </c>
      <c r="E149" s="142"/>
      <c r="F149" s="142"/>
      <c r="G149" s="142"/>
      <c r="H149" s="142"/>
      <c r="I149" s="142"/>
      <c r="J149" s="142"/>
      <c r="K149" s="142"/>
      <c r="L149" s="142"/>
      <c r="M149" s="142"/>
      <c r="N149" s="143"/>
      <c r="O149" s="86"/>
    </row>
    <row r="150" spans="1:15">
      <c r="A150" s="104" t="s">
        <v>91</v>
      </c>
      <c r="B150" s="144"/>
      <c r="C150" s="166"/>
      <c r="D150" s="141" t="s">
        <v>116</v>
      </c>
      <c r="E150" s="142"/>
      <c r="F150" s="142"/>
      <c r="G150" s="142"/>
      <c r="H150" s="142"/>
      <c r="I150" s="142"/>
      <c r="J150" s="142"/>
      <c r="K150" s="142"/>
      <c r="L150" s="142"/>
      <c r="M150" s="142"/>
      <c r="N150" s="143"/>
      <c r="O150" s="86"/>
    </row>
    <row r="151" spans="1:15">
      <c r="A151" s="105" t="s">
        <v>93</v>
      </c>
      <c r="B151" s="167"/>
      <c r="C151" s="168"/>
      <c r="D151" s="169" t="s">
        <v>690</v>
      </c>
      <c r="E151" s="170"/>
      <c r="F151" s="170"/>
      <c r="G151" s="170"/>
      <c r="H151" s="170"/>
      <c r="I151" s="170"/>
      <c r="J151" s="170"/>
      <c r="K151" s="170"/>
      <c r="L151" s="170"/>
      <c r="M151" s="170"/>
      <c r="N151" s="171"/>
      <c r="O151" s="86"/>
    </row>
    <row r="152" spans="1:15" ht="30" customHeight="1">
      <c r="A152" s="102" t="s">
        <v>95</v>
      </c>
      <c r="B152" s="142"/>
      <c r="C152" s="143"/>
      <c r="D152" s="146" t="s">
        <v>691</v>
      </c>
      <c r="E152" s="142"/>
      <c r="F152" s="142"/>
      <c r="G152" s="142"/>
      <c r="H152" s="142"/>
      <c r="I152" s="142"/>
      <c r="J152" s="142"/>
      <c r="K152" s="142"/>
      <c r="L152" s="142"/>
      <c r="M152" s="142"/>
      <c r="N152" s="143"/>
      <c r="O152" s="86"/>
    </row>
    <row r="153" spans="1:15">
      <c r="A153" s="102" t="s">
        <v>97</v>
      </c>
      <c r="B153" s="142"/>
      <c r="C153" s="143"/>
      <c r="D153" s="146" t="s">
        <v>692</v>
      </c>
      <c r="E153" s="142"/>
      <c r="F153" s="142"/>
      <c r="G153" s="142"/>
      <c r="H153" s="142"/>
      <c r="I153" s="142"/>
      <c r="J153" s="142"/>
      <c r="K153" s="142"/>
      <c r="L153" s="142"/>
      <c r="M153" s="142"/>
      <c r="N153" s="143"/>
      <c r="O153" s="86"/>
    </row>
    <row r="154" spans="1:15" ht="31.5" customHeight="1">
      <c r="A154" s="103" t="s">
        <v>99</v>
      </c>
      <c r="B154" s="147"/>
      <c r="C154" s="103" t="s">
        <v>100</v>
      </c>
      <c r="D154" s="147"/>
      <c r="E154" s="103" t="s">
        <v>101</v>
      </c>
      <c r="F154" s="147"/>
      <c r="G154" s="103" t="s">
        <v>102</v>
      </c>
      <c r="H154" s="147"/>
      <c r="I154" s="103" t="s">
        <v>103</v>
      </c>
      <c r="J154" s="147"/>
      <c r="K154" s="103" t="s">
        <v>104</v>
      </c>
      <c r="L154" s="147"/>
      <c r="M154" s="61" t="s">
        <v>105</v>
      </c>
      <c r="N154" s="62" t="s">
        <v>106</v>
      </c>
      <c r="O154" s="86"/>
    </row>
    <row r="155" spans="1:15" ht="105.75" customHeight="1">
      <c r="A155" s="172" t="s">
        <v>2</v>
      </c>
      <c r="B155" s="149"/>
      <c r="C155" s="172" t="s">
        <v>693</v>
      </c>
      <c r="D155" s="149"/>
      <c r="E155" s="172" t="s">
        <v>109</v>
      </c>
      <c r="F155" s="149"/>
      <c r="G155" s="172" t="s">
        <v>110</v>
      </c>
      <c r="H155" s="149"/>
      <c r="I155" s="172" t="s">
        <v>694</v>
      </c>
      <c r="J155" s="149"/>
      <c r="K155" s="172" t="s">
        <v>695</v>
      </c>
      <c r="L155" s="149"/>
      <c r="M155" s="174"/>
      <c r="N155" s="175" t="s">
        <v>696</v>
      </c>
      <c r="O155" s="86"/>
    </row>
    <row r="156" spans="1:1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</row>
    <row r="157" spans="1:15">
      <c r="A157" s="106" t="s">
        <v>85</v>
      </c>
      <c r="B157" s="160"/>
      <c r="C157" s="161"/>
      <c r="D157" s="141" t="str">
        <f>$A$1</f>
        <v>Experiencia de Usuario</v>
      </c>
      <c r="E157" s="142"/>
      <c r="F157" s="142"/>
      <c r="G157" s="142"/>
      <c r="H157" s="142"/>
      <c r="I157" s="142"/>
      <c r="J157" s="142"/>
      <c r="K157" s="142"/>
      <c r="L157" s="142"/>
      <c r="M157" s="142"/>
      <c r="N157" s="143"/>
      <c r="O157" s="86"/>
    </row>
    <row r="158" spans="1:15" ht="27" customHeight="1">
      <c r="A158" s="107" t="s">
        <v>86</v>
      </c>
      <c r="B158" s="140"/>
      <c r="C158" s="163"/>
      <c r="D158" s="146" t="str">
        <f>'Experiencia de usuario'!A9</f>
        <v>Se requiere que la aplicación proporcione retroalimentación inmediata a las acciones del usuario (mensajes de éxito, error o progreso) para mantener claridad en la interacción.</v>
      </c>
      <c r="E158" s="142"/>
      <c r="F158" s="142"/>
      <c r="G158" s="142"/>
      <c r="H158" s="142"/>
      <c r="I158" s="142"/>
      <c r="J158" s="142"/>
      <c r="K158" s="142"/>
      <c r="L158" s="142"/>
      <c r="M158" s="142"/>
      <c r="N158" s="143"/>
      <c r="O158" s="86"/>
    </row>
    <row r="159" spans="1:15">
      <c r="A159" s="104" t="s">
        <v>87</v>
      </c>
      <c r="B159" s="144"/>
      <c r="C159" s="166"/>
      <c r="D159" s="141" t="s">
        <v>697</v>
      </c>
      <c r="E159" s="142"/>
      <c r="F159" s="142"/>
      <c r="G159" s="142"/>
      <c r="H159" s="142"/>
      <c r="I159" s="142"/>
      <c r="J159" s="142"/>
      <c r="K159" s="142"/>
      <c r="L159" s="142"/>
      <c r="M159" s="142"/>
      <c r="N159" s="143"/>
      <c r="O159" s="86"/>
    </row>
    <row r="160" spans="1:15">
      <c r="A160" s="104" t="s">
        <v>89</v>
      </c>
      <c r="B160" s="144"/>
      <c r="C160" s="166"/>
      <c r="D160" s="141" t="s">
        <v>698</v>
      </c>
      <c r="E160" s="142"/>
      <c r="F160" s="142"/>
      <c r="G160" s="142"/>
      <c r="H160" s="142"/>
      <c r="I160" s="142"/>
      <c r="J160" s="142"/>
      <c r="K160" s="142"/>
      <c r="L160" s="142"/>
      <c r="M160" s="142"/>
      <c r="N160" s="143"/>
      <c r="O160" s="86"/>
    </row>
    <row r="161" spans="1:15">
      <c r="A161" s="104" t="s">
        <v>91</v>
      </c>
      <c r="B161" s="144"/>
      <c r="C161" s="166"/>
      <c r="D161" s="141" t="s">
        <v>92</v>
      </c>
      <c r="E161" s="142"/>
      <c r="F161" s="142"/>
      <c r="G161" s="142"/>
      <c r="H161" s="142"/>
      <c r="I161" s="142"/>
      <c r="J161" s="142"/>
      <c r="K161" s="142"/>
      <c r="L161" s="142"/>
      <c r="M161" s="142"/>
      <c r="N161" s="143"/>
      <c r="O161" s="86"/>
    </row>
    <row r="162" spans="1:15" ht="15" customHeight="1">
      <c r="A162" s="105" t="s">
        <v>93</v>
      </c>
      <c r="B162" s="167"/>
      <c r="C162" s="168"/>
      <c r="D162" s="169" t="s">
        <v>699</v>
      </c>
      <c r="E162" s="170"/>
      <c r="F162" s="170"/>
      <c r="G162" s="170"/>
      <c r="H162" s="170"/>
      <c r="I162" s="170"/>
      <c r="J162" s="170"/>
      <c r="K162" s="170"/>
      <c r="L162" s="170"/>
      <c r="M162" s="170"/>
      <c r="N162" s="171"/>
      <c r="O162" s="86"/>
    </row>
    <row r="163" spans="1:15" ht="31.5" customHeight="1">
      <c r="A163" s="102" t="s">
        <v>95</v>
      </c>
      <c r="B163" s="142"/>
      <c r="C163" s="143"/>
      <c r="D163" s="146" t="s">
        <v>700</v>
      </c>
      <c r="E163" s="142"/>
      <c r="F163" s="142"/>
      <c r="G163" s="142"/>
      <c r="H163" s="142"/>
      <c r="I163" s="142"/>
      <c r="J163" s="142"/>
      <c r="K163" s="142"/>
      <c r="L163" s="142"/>
      <c r="M163" s="142"/>
      <c r="N163" s="143"/>
      <c r="O163" s="86"/>
    </row>
    <row r="164" spans="1:15" ht="15" customHeight="1">
      <c r="A164" s="102" t="s">
        <v>97</v>
      </c>
      <c r="B164" s="142"/>
      <c r="C164" s="143"/>
      <c r="D164" s="181" t="s">
        <v>701</v>
      </c>
      <c r="E164" s="182"/>
      <c r="F164" s="182"/>
      <c r="G164" s="182"/>
      <c r="H164" s="182"/>
      <c r="I164" s="182"/>
      <c r="J164" s="182"/>
      <c r="K164" s="182"/>
      <c r="L164" s="182"/>
      <c r="M164" s="182"/>
      <c r="N164" s="183"/>
      <c r="O164" s="86"/>
    </row>
    <row r="165" spans="1:15" ht="30.75" customHeight="1">
      <c r="A165" s="103" t="s">
        <v>99</v>
      </c>
      <c r="B165" s="147"/>
      <c r="C165" s="103" t="s">
        <v>100</v>
      </c>
      <c r="D165" s="147"/>
      <c r="E165" s="103" t="s">
        <v>101</v>
      </c>
      <c r="F165" s="147"/>
      <c r="G165" s="103" t="s">
        <v>102</v>
      </c>
      <c r="H165" s="147"/>
      <c r="I165" s="103" t="s">
        <v>103</v>
      </c>
      <c r="J165" s="147"/>
      <c r="K165" s="103" t="s">
        <v>104</v>
      </c>
      <c r="L165" s="147"/>
      <c r="M165" s="61" t="s">
        <v>105</v>
      </c>
      <c r="N165" s="62" t="s">
        <v>106</v>
      </c>
      <c r="O165" s="86"/>
    </row>
    <row r="166" spans="1:15" ht="58.5" customHeight="1">
      <c r="A166" s="172" t="s">
        <v>2</v>
      </c>
      <c r="B166" s="149"/>
      <c r="C166" s="172" t="s">
        <v>702</v>
      </c>
      <c r="D166" s="149"/>
      <c r="E166" s="172" t="s">
        <v>109</v>
      </c>
      <c r="F166" s="149"/>
      <c r="G166" s="172" t="s">
        <v>110</v>
      </c>
      <c r="H166" s="149"/>
      <c r="I166" s="172" t="s">
        <v>703</v>
      </c>
      <c r="J166" s="149"/>
      <c r="K166" s="172" t="s">
        <v>336</v>
      </c>
      <c r="L166" s="149"/>
      <c r="M166" s="174"/>
      <c r="N166" s="175" t="s">
        <v>704</v>
      </c>
      <c r="O166" s="86"/>
    </row>
    <row r="167" spans="1:1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</row>
    <row r="168" spans="1:15">
      <c r="A168" s="106" t="s">
        <v>85</v>
      </c>
      <c r="B168" s="160"/>
      <c r="C168" s="161"/>
      <c r="D168" s="141" t="str">
        <f>$A$1</f>
        <v>Experiencia de Usuario</v>
      </c>
      <c r="E168" s="142"/>
      <c r="F168" s="142"/>
      <c r="G168" s="142"/>
      <c r="H168" s="142"/>
      <c r="I168" s="142"/>
      <c r="J168" s="142"/>
      <c r="K168" s="142"/>
      <c r="L168" s="142"/>
      <c r="M168" s="142"/>
      <c r="N168" s="143"/>
      <c r="O168" s="86"/>
    </row>
    <row r="169" spans="1:15">
      <c r="A169" s="107" t="s">
        <v>86</v>
      </c>
      <c r="B169" s="140"/>
      <c r="C169" s="163"/>
      <c r="D169" s="146" t="str">
        <f>'Experiencia de usuario'!A9</f>
        <v>Se requiere que la aplicación proporcione retroalimentación inmediata a las acciones del usuario (mensajes de éxito, error o progreso) para mantener claridad en la interacción.</v>
      </c>
      <c r="E169" s="142"/>
      <c r="F169" s="142"/>
      <c r="G169" s="142"/>
      <c r="H169" s="142"/>
      <c r="I169" s="142"/>
      <c r="J169" s="142"/>
      <c r="K169" s="142"/>
      <c r="L169" s="142"/>
      <c r="M169" s="142"/>
      <c r="N169" s="143"/>
      <c r="O169" s="86"/>
    </row>
    <row r="170" spans="1:15">
      <c r="A170" s="104" t="s">
        <v>87</v>
      </c>
      <c r="B170" s="144"/>
      <c r="C170" s="166"/>
      <c r="D170" s="141" t="s">
        <v>705</v>
      </c>
      <c r="E170" s="142"/>
      <c r="F170" s="142"/>
      <c r="G170" s="142"/>
      <c r="H170" s="142"/>
      <c r="I170" s="142"/>
      <c r="J170" s="142"/>
      <c r="K170" s="142"/>
      <c r="L170" s="142"/>
      <c r="M170" s="142"/>
      <c r="N170" s="143"/>
      <c r="O170" s="86"/>
    </row>
    <row r="171" spans="1:15">
      <c r="A171" s="104" t="s">
        <v>89</v>
      </c>
      <c r="B171" s="144"/>
      <c r="C171" s="166"/>
      <c r="D171" s="141" t="s">
        <v>706</v>
      </c>
      <c r="E171" s="142"/>
      <c r="F171" s="142"/>
      <c r="G171" s="142"/>
      <c r="H171" s="142"/>
      <c r="I171" s="142"/>
      <c r="J171" s="142"/>
      <c r="K171" s="142"/>
      <c r="L171" s="142"/>
      <c r="M171" s="142"/>
      <c r="N171" s="143"/>
      <c r="O171" s="86"/>
    </row>
    <row r="172" spans="1:15">
      <c r="A172" s="104" t="s">
        <v>91</v>
      </c>
      <c r="B172" s="144"/>
      <c r="C172" s="166"/>
      <c r="D172" s="141" t="s">
        <v>116</v>
      </c>
      <c r="E172" s="142"/>
      <c r="F172" s="142"/>
      <c r="G172" s="142"/>
      <c r="H172" s="142"/>
      <c r="I172" s="142"/>
      <c r="J172" s="142"/>
      <c r="K172" s="142"/>
      <c r="L172" s="142"/>
      <c r="M172" s="142"/>
      <c r="N172" s="143"/>
      <c r="O172" s="86"/>
    </row>
    <row r="173" spans="1:15">
      <c r="A173" s="105" t="s">
        <v>93</v>
      </c>
      <c r="B173" s="167"/>
      <c r="C173" s="168"/>
      <c r="D173" s="169" t="s">
        <v>707</v>
      </c>
      <c r="E173" s="170"/>
      <c r="F173" s="170"/>
      <c r="G173" s="170"/>
      <c r="H173" s="170"/>
      <c r="I173" s="170"/>
      <c r="J173" s="170"/>
      <c r="K173" s="170"/>
      <c r="L173" s="170"/>
      <c r="M173" s="170"/>
      <c r="N173" s="171"/>
      <c r="O173" s="86"/>
    </row>
    <row r="174" spans="1:15" ht="31.5" customHeight="1">
      <c r="A174" s="102" t="s">
        <v>95</v>
      </c>
      <c r="B174" s="142"/>
      <c r="C174" s="143"/>
      <c r="D174" s="146" t="s">
        <v>708</v>
      </c>
      <c r="E174" s="142"/>
      <c r="F174" s="142"/>
      <c r="G174" s="142"/>
      <c r="H174" s="142"/>
      <c r="I174" s="142"/>
      <c r="J174" s="142"/>
      <c r="K174" s="142"/>
      <c r="L174" s="142"/>
      <c r="M174" s="142"/>
      <c r="N174" s="143"/>
      <c r="O174" s="86"/>
    </row>
    <row r="175" spans="1:15">
      <c r="A175" s="102" t="s">
        <v>97</v>
      </c>
      <c r="B175" s="142"/>
      <c r="C175" s="143"/>
      <c r="D175" s="146" t="s">
        <v>709</v>
      </c>
      <c r="E175" s="142"/>
      <c r="F175" s="142"/>
      <c r="G175" s="142"/>
      <c r="H175" s="142"/>
      <c r="I175" s="142"/>
      <c r="J175" s="142"/>
      <c r="K175" s="142"/>
      <c r="L175" s="142"/>
      <c r="M175" s="142"/>
      <c r="N175" s="143"/>
      <c r="O175" s="86"/>
    </row>
    <row r="176" spans="1:15" ht="32.25" customHeight="1">
      <c r="A176" s="103" t="s">
        <v>99</v>
      </c>
      <c r="B176" s="147"/>
      <c r="C176" s="103" t="s">
        <v>100</v>
      </c>
      <c r="D176" s="147"/>
      <c r="E176" s="103" t="s">
        <v>101</v>
      </c>
      <c r="F176" s="147"/>
      <c r="G176" s="103" t="s">
        <v>102</v>
      </c>
      <c r="H176" s="147"/>
      <c r="I176" s="103" t="s">
        <v>103</v>
      </c>
      <c r="J176" s="147"/>
      <c r="K176" s="103" t="s">
        <v>104</v>
      </c>
      <c r="L176" s="147"/>
      <c r="M176" s="61" t="s">
        <v>105</v>
      </c>
      <c r="N176" s="62" t="s">
        <v>106</v>
      </c>
      <c r="O176" s="86"/>
    </row>
    <row r="177" spans="1:15" ht="69.75" customHeight="1">
      <c r="A177" s="172" t="s">
        <v>2</v>
      </c>
      <c r="B177" s="149"/>
      <c r="C177" s="172" t="s">
        <v>710</v>
      </c>
      <c r="D177" s="149"/>
      <c r="E177" s="172" t="s">
        <v>109</v>
      </c>
      <c r="F177" s="149"/>
      <c r="G177" s="172" t="s">
        <v>110</v>
      </c>
      <c r="H177" s="149"/>
      <c r="I177" s="172" t="s">
        <v>711</v>
      </c>
      <c r="J177" s="149"/>
      <c r="K177" s="172" t="s">
        <v>712</v>
      </c>
      <c r="L177" s="149"/>
      <c r="M177" s="174"/>
      <c r="N177" s="175" t="s">
        <v>713</v>
      </c>
      <c r="O177" s="86"/>
    </row>
    <row r="178" spans="1:1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</row>
    <row r="179" spans="1:15">
      <c r="A179" s="106" t="s">
        <v>85</v>
      </c>
      <c r="B179" s="160"/>
      <c r="C179" s="161"/>
      <c r="D179" s="141" t="str">
        <f>$A$1</f>
        <v>Experiencia de Usuario</v>
      </c>
      <c r="E179" s="142"/>
      <c r="F179" s="142"/>
      <c r="G179" s="142"/>
      <c r="H179" s="142"/>
      <c r="I179" s="142"/>
      <c r="J179" s="142"/>
      <c r="K179" s="142"/>
      <c r="L179" s="142"/>
      <c r="M179" s="142"/>
      <c r="N179" s="143"/>
      <c r="O179" s="86"/>
    </row>
    <row r="180" spans="1:15">
      <c r="A180" s="107" t="s">
        <v>86</v>
      </c>
      <c r="B180" s="140"/>
      <c r="C180" s="163"/>
      <c r="D180" s="146" t="str">
        <f>'Experiencia de usuario'!A10</f>
        <v>Se requiere que la aplicación mantenga una experiencia visual predecible y consistente en todas sus secciones, utilizando el mismo sistema de diseño (colores, tipografía, iconografía) en cada pantalla.</v>
      </c>
      <c r="E180" s="142"/>
      <c r="F180" s="142"/>
      <c r="G180" s="142"/>
      <c r="H180" s="142"/>
      <c r="I180" s="142"/>
      <c r="J180" s="142"/>
      <c r="K180" s="142"/>
      <c r="L180" s="142"/>
      <c r="M180" s="142"/>
      <c r="N180" s="143"/>
      <c r="O180" s="86"/>
    </row>
    <row r="181" spans="1:15">
      <c r="A181" s="104" t="s">
        <v>87</v>
      </c>
      <c r="B181" s="144"/>
      <c r="C181" s="166"/>
      <c r="D181" s="141" t="s">
        <v>714</v>
      </c>
      <c r="E181" s="142"/>
      <c r="F181" s="142"/>
      <c r="G181" s="142"/>
      <c r="H181" s="142"/>
      <c r="I181" s="142"/>
      <c r="J181" s="142"/>
      <c r="K181" s="142"/>
      <c r="L181" s="142"/>
      <c r="M181" s="142"/>
      <c r="N181" s="143"/>
      <c r="O181" s="86"/>
    </row>
    <row r="182" spans="1:15">
      <c r="A182" s="104" t="s">
        <v>89</v>
      </c>
      <c r="B182" s="144"/>
      <c r="C182" s="166"/>
      <c r="D182" s="141" t="s">
        <v>715</v>
      </c>
      <c r="E182" s="142"/>
      <c r="F182" s="142"/>
      <c r="G182" s="142"/>
      <c r="H182" s="142"/>
      <c r="I182" s="142"/>
      <c r="J182" s="142"/>
      <c r="K182" s="142"/>
      <c r="L182" s="142"/>
      <c r="M182" s="142"/>
      <c r="N182" s="143"/>
      <c r="O182" s="86"/>
    </row>
    <row r="183" spans="1:15">
      <c r="A183" s="104" t="s">
        <v>91</v>
      </c>
      <c r="B183" s="144"/>
      <c r="C183" s="166"/>
      <c r="D183" s="141" t="s">
        <v>92</v>
      </c>
      <c r="E183" s="142"/>
      <c r="F183" s="142"/>
      <c r="G183" s="142"/>
      <c r="H183" s="142"/>
      <c r="I183" s="142"/>
      <c r="J183" s="142"/>
      <c r="K183" s="142"/>
      <c r="L183" s="142"/>
      <c r="M183" s="142"/>
      <c r="N183" s="143"/>
      <c r="O183" s="86"/>
    </row>
    <row r="184" spans="1:15" ht="15" customHeight="1">
      <c r="A184" s="105" t="s">
        <v>93</v>
      </c>
      <c r="B184" s="167"/>
      <c r="C184" s="168"/>
      <c r="D184" s="169" t="s">
        <v>716</v>
      </c>
      <c r="E184" s="170"/>
      <c r="F184" s="170"/>
      <c r="G184" s="170"/>
      <c r="H184" s="170"/>
      <c r="I184" s="170"/>
      <c r="J184" s="170"/>
      <c r="K184" s="170"/>
      <c r="L184" s="170"/>
      <c r="M184" s="170"/>
      <c r="N184" s="171"/>
      <c r="O184" s="86"/>
    </row>
    <row r="185" spans="1:15" ht="31.5" customHeight="1">
      <c r="A185" s="102" t="s">
        <v>95</v>
      </c>
      <c r="B185" s="142"/>
      <c r="C185" s="143"/>
      <c r="D185" s="146" t="s">
        <v>717</v>
      </c>
      <c r="E185" s="142"/>
      <c r="F185" s="142"/>
      <c r="G185" s="142"/>
      <c r="H185" s="142"/>
      <c r="I185" s="142"/>
      <c r="J185" s="142"/>
      <c r="K185" s="142"/>
      <c r="L185" s="142"/>
      <c r="M185" s="142"/>
      <c r="N185" s="143"/>
      <c r="O185" s="86"/>
    </row>
    <row r="186" spans="1:15" ht="15" customHeight="1">
      <c r="A186" s="102" t="s">
        <v>97</v>
      </c>
      <c r="B186" s="142"/>
      <c r="C186" s="143"/>
      <c r="D186" s="181" t="s">
        <v>718</v>
      </c>
      <c r="E186" s="182"/>
      <c r="F186" s="182"/>
      <c r="G186" s="182"/>
      <c r="H186" s="182"/>
      <c r="I186" s="182"/>
      <c r="J186" s="182"/>
      <c r="K186" s="182"/>
      <c r="L186" s="182"/>
      <c r="M186" s="182"/>
      <c r="N186" s="183"/>
      <c r="O186" s="86"/>
    </row>
    <row r="187" spans="1:15" ht="31.5" customHeight="1">
      <c r="A187" s="103" t="s">
        <v>99</v>
      </c>
      <c r="B187" s="147"/>
      <c r="C187" s="103" t="s">
        <v>100</v>
      </c>
      <c r="D187" s="147"/>
      <c r="E187" s="103" t="s">
        <v>101</v>
      </c>
      <c r="F187" s="147"/>
      <c r="G187" s="103" t="s">
        <v>102</v>
      </c>
      <c r="H187" s="147"/>
      <c r="I187" s="103" t="s">
        <v>103</v>
      </c>
      <c r="J187" s="147"/>
      <c r="K187" s="103" t="s">
        <v>104</v>
      </c>
      <c r="L187" s="147"/>
      <c r="M187" s="61" t="s">
        <v>105</v>
      </c>
      <c r="N187" s="62" t="s">
        <v>106</v>
      </c>
      <c r="O187" s="86"/>
    </row>
    <row r="188" spans="1:15" ht="91.5" customHeight="1">
      <c r="A188" s="172" t="s">
        <v>2</v>
      </c>
      <c r="B188" s="149"/>
      <c r="C188" s="172" t="s">
        <v>596</v>
      </c>
      <c r="D188" s="149"/>
      <c r="E188" s="172" t="s">
        <v>109</v>
      </c>
      <c r="F188" s="149"/>
      <c r="G188" s="172" t="s">
        <v>110</v>
      </c>
      <c r="H188" s="149"/>
      <c r="I188" s="172" t="s">
        <v>719</v>
      </c>
      <c r="J188" s="149"/>
      <c r="K188" s="172" t="s">
        <v>720</v>
      </c>
      <c r="L188" s="149"/>
      <c r="M188" s="174"/>
      <c r="N188" s="175" t="s">
        <v>721</v>
      </c>
      <c r="O188" s="86"/>
    </row>
    <row r="189" spans="1:1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</row>
    <row r="190" spans="1:15">
      <c r="A190" s="106" t="s">
        <v>85</v>
      </c>
      <c r="B190" s="160"/>
      <c r="C190" s="161"/>
      <c r="D190" s="141" t="str">
        <f>$A$1</f>
        <v>Experiencia de Usuario</v>
      </c>
      <c r="E190" s="142"/>
      <c r="F190" s="142"/>
      <c r="G190" s="142"/>
      <c r="H190" s="142"/>
      <c r="I190" s="142"/>
      <c r="J190" s="142"/>
      <c r="K190" s="142"/>
      <c r="L190" s="142"/>
      <c r="M190" s="142"/>
      <c r="N190" s="143"/>
      <c r="O190" s="86"/>
    </row>
    <row r="191" spans="1:15">
      <c r="A191" s="107" t="s">
        <v>86</v>
      </c>
      <c r="B191" s="140"/>
      <c r="C191" s="163"/>
      <c r="D191" s="146" t="str">
        <f>'Experiencia de usuario'!A10</f>
        <v>Se requiere que la aplicación mantenga una experiencia visual predecible y consistente en todas sus secciones, utilizando el mismo sistema de diseño (colores, tipografía, iconografía) en cada pantalla.</v>
      </c>
      <c r="E191" s="142"/>
      <c r="F191" s="142"/>
      <c r="G191" s="142"/>
      <c r="H191" s="142"/>
      <c r="I191" s="142"/>
      <c r="J191" s="142"/>
      <c r="K191" s="142"/>
      <c r="L191" s="142"/>
      <c r="M191" s="142"/>
      <c r="N191" s="143"/>
      <c r="O191" s="86"/>
    </row>
    <row r="192" spans="1:15">
      <c r="A192" s="104" t="s">
        <v>87</v>
      </c>
      <c r="B192" s="144"/>
      <c r="C192" s="166"/>
      <c r="D192" s="141" t="s">
        <v>722</v>
      </c>
      <c r="E192" s="142"/>
      <c r="F192" s="142"/>
      <c r="G192" s="142"/>
      <c r="H192" s="142"/>
      <c r="I192" s="142"/>
      <c r="J192" s="142"/>
      <c r="K192" s="142"/>
      <c r="L192" s="142"/>
      <c r="M192" s="142"/>
      <c r="N192" s="143"/>
      <c r="O192" s="86"/>
    </row>
    <row r="193" spans="1:15">
      <c r="A193" s="104" t="s">
        <v>89</v>
      </c>
      <c r="B193" s="144"/>
      <c r="C193" s="166"/>
      <c r="D193" s="141" t="s">
        <v>723</v>
      </c>
      <c r="E193" s="142"/>
      <c r="F193" s="142"/>
      <c r="G193" s="142"/>
      <c r="H193" s="142"/>
      <c r="I193" s="142"/>
      <c r="J193" s="142"/>
      <c r="K193" s="142"/>
      <c r="L193" s="142"/>
      <c r="M193" s="142"/>
      <c r="N193" s="143"/>
      <c r="O193" s="86"/>
    </row>
    <row r="194" spans="1:15">
      <c r="A194" s="104" t="s">
        <v>91</v>
      </c>
      <c r="B194" s="144"/>
      <c r="C194" s="166"/>
      <c r="D194" s="141" t="s">
        <v>116</v>
      </c>
      <c r="E194" s="142"/>
      <c r="F194" s="142"/>
      <c r="G194" s="142"/>
      <c r="H194" s="142"/>
      <c r="I194" s="142"/>
      <c r="J194" s="142"/>
      <c r="K194" s="142"/>
      <c r="L194" s="142"/>
      <c r="M194" s="142"/>
      <c r="N194" s="143"/>
      <c r="O194" s="86"/>
    </row>
    <row r="195" spans="1:15" ht="15" customHeight="1">
      <c r="A195" s="105" t="s">
        <v>93</v>
      </c>
      <c r="B195" s="167"/>
      <c r="C195" s="168"/>
      <c r="D195" s="169" t="s">
        <v>724</v>
      </c>
      <c r="E195" s="170"/>
      <c r="F195" s="170"/>
      <c r="G195" s="170"/>
      <c r="H195" s="170"/>
      <c r="I195" s="170"/>
      <c r="J195" s="170"/>
      <c r="K195" s="170"/>
      <c r="L195" s="170"/>
      <c r="M195" s="170"/>
      <c r="N195" s="171"/>
      <c r="O195" s="86"/>
    </row>
    <row r="196" spans="1:15" ht="34.5" customHeight="1">
      <c r="A196" s="102" t="s">
        <v>95</v>
      </c>
      <c r="B196" s="177"/>
      <c r="C196" s="177"/>
      <c r="D196" s="183" t="s">
        <v>725</v>
      </c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86"/>
    </row>
    <row r="197" spans="1:15" ht="15" customHeight="1">
      <c r="A197" s="108" t="s">
        <v>97</v>
      </c>
      <c r="B197" s="179"/>
      <c r="C197" s="180"/>
      <c r="D197" s="178" t="s">
        <v>726</v>
      </c>
      <c r="E197" s="179"/>
      <c r="F197" s="179"/>
      <c r="G197" s="179"/>
      <c r="H197" s="179"/>
      <c r="I197" s="179"/>
      <c r="J197" s="179"/>
      <c r="K197" s="179"/>
      <c r="L197" s="179"/>
      <c r="M197" s="179"/>
      <c r="N197" s="180"/>
      <c r="O197" s="86"/>
    </row>
    <row r="198" spans="1:15" ht="30" customHeight="1">
      <c r="A198" s="103" t="s">
        <v>99</v>
      </c>
      <c r="B198" s="147"/>
      <c r="C198" s="103" t="s">
        <v>100</v>
      </c>
      <c r="D198" s="147"/>
      <c r="E198" s="103" t="s">
        <v>101</v>
      </c>
      <c r="F198" s="147"/>
      <c r="G198" s="103" t="s">
        <v>102</v>
      </c>
      <c r="H198" s="147"/>
      <c r="I198" s="103" t="s">
        <v>103</v>
      </c>
      <c r="J198" s="147"/>
      <c r="K198" s="103" t="s">
        <v>104</v>
      </c>
      <c r="L198" s="147"/>
      <c r="M198" s="61" t="s">
        <v>105</v>
      </c>
      <c r="N198" s="62" t="s">
        <v>106</v>
      </c>
      <c r="O198" s="86"/>
    </row>
    <row r="199" spans="1:15" ht="90.75" customHeight="1">
      <c r="A199" s="172" t="s">
        <v>727</v>
      </c>
      <c r="B199" s="149"/>
      <c r="C199" s="172" t="s">
        <v>728</v>
      </c>
      <c r="D199" s="149"/>
      <c r="E199" s="172" t="s">
        <v>109</v>
      </c>
      <c r="F199" s="149"/>
      <c r="G199" s="172" t="s">
        <v>110</v>
      </c>
      <c r="H199" s="149"/>
      <c r="I199" s="172" t="s">
        <v>729</v>
      </c>
      <c r="J199" s="149"/>
      <c r="K199" s="172" t="s">
        <v>589</v>
      </c>
      <c r="L199" s="149"/>
      <c r="M199" s="174"/>
      <c r="N199" s="175" t="s">
        <v>730</v>
      </c>
      <c r="O199" s="86"/>
    </row>
    <row r="200" spans="1:1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</row>
    <row r="201" spans="1:15">
      <c r="A201" s="106" t="s">
        <v>85</v>
      </c>
      <c r="B201" s="160"/>
      <c r="C201" s="161"/>
      <c r="D201" s="141" t="str">
        <f>$A$1</f>
        <v>Experiencia de Usuario</v>
      </c>
      <c r="E201" s="142"/>
      <c r="F201" s="142"/>
      <c r="G201" s="142"/>
      <c r="H201" s="142"/>
      <c r="I201" s="142"/>
      <c r="J201" s="142"/>
      <c r="K201" s="142"/>
      <c r="L201" s="142"/>
      <c r="M201" s="142"/>
      <c r="N201" s="143"/>
      <c r="O201" s="86"/>
    </row>
    <row r="202" spans="1:15">
      <c r="A202" s="107" t="s">
        <v>86</v>
      </c>
      <c r="B202" s="140"/>
      <c r="C202" s="163"/>
      <c r="D202" s="146" t="str">
        <f>'Experiencia de usuario'!A11</f>
        <v>Se requiere que la aplicación mantenga consistencia entre plataformas y dispositivos, de forma que la experiencia sea homogénea en web, móvil o tablet.</v>
      </c>
      <c r="E202" s="142"/>
      <c r="F202" s="142"/>
      <c r="G202" s="142"/>
      <c r="H202" s="142"/>
      <c r="I202" s="142"/>
      <c r="J202" s="142"/>
      <c r="K202" s="142"/>
      <c r="L202" s="142"/>
      <c r="M202" s="142"/>
      <c r="N202" s="143"/>
      <c r="O202" s="86"/>
    </row>
    <row r="203" spans="1:15">
      <c r="A203" s="104" t="s">
        <v>87</v>
      </c>
      <c r="B203" s="144"/>
      <c r="C203" s="166"/>
      <c r="D203" s="141" t="s">
        <v>731</v>
      </c>
      <c r="E203" s="142"/>
      <c r="F203" s="142"/>
      <c r="G203" s="142"/>
      <c r="H203" s="142"/>
      <c r="I203" s="142"/>
      <c r="J203" s="142"/>
      <c r="K203" s="142"/>
      <c r="L203" s="142"/>
      <c r="M203" s="142"/>
      <c r="N203" s="143"/>
      <c r="O203" s="86"/>
    </row>
    <row r="204" spans="1:15">
      <c r="A204" s="104" t="s">
        <v>89</v>
      </c>
      <c r="B204" s="144"/>
      <c r="C204" s="166"/>
      <c r="D204" s="141" t="s">
        <v>732</v>
      </c>
      <c r="E204" s="142"/>
      <c r="F204" s="142"/>
      <c r="G204" s="142"/>
      <c r="H204" s="142"/>
      <c r="I204" s="142"/>
      <c r="J204" s="142"/>
      <c r="K204" s="142"/>
      <c r="L204" s="142"/>
      <c r="M204" s="142"/>
      <c r="N204" s="143"/>
      <c r="O204" s="86"/>
    </row>
    <row r="205" spans="1:15">
      <c r="A205" s="104" t="s">
        <v>91</v>
      </c>
      <c r="B205" s="144"/>
      <c r="C205" s="166"/>
      <c r="D205" s="141" t="s">
        <v>92</v>
      </c>
      <c r="E205" s="142"/>
      <c r="F205" s="142"/>
      <c r="G205" s="142"/>
      <c r="H205" s="142"/>
      <c r="I205" s="142"/>
      <c r="J205" s="142"/>
      <c r="K205" s="142"/>
      <c r="L205" s="142"/>
      <c r="M205" s="142"/>
      <c r="N205" s="143"/>
      <c r="O205" s="86"/>
    </row>
    <row r="206" spans="1:15">
      <c r="A206" s="105" t="s">
        <v>93</v>
      </c>
      <c r="B206" s="167"/>
      <c r="C206" s="168"/>
      <c r="D206" s="169" t="s">
        <v>733</v>
      </c>
      <c r="E206" s="170"/>
      <c r="F206" s="170"/>
      <c r="G206" s="170"/>
      <c r="H206" s="170"/>
      <c r="I206" s="170"/>
      <c r="J206" s="170"/>
      <c r="K206" s="170"/>
      <c r="L206" s="170"/>
      <c r="M206" s="170"/>
      <c r="N206" s="171"/>
      <c r="O206" s="86"/>
    </row>
    <row r="207" spans="1:15" ht="28.5" customHeight="1">
      <c r="A207" s="102" t="s">
        <v>95</v>
      </c>
      <c r="B207" s="142"/>
      <c r="C207" s="143"/>
      <c r="D207" s="146" t="s">
        <v>734</v>
      </c>
      <c r="E207" s="142"/>
      <c r="F207" s="142"/>
      <c r="G207" s="142"/>
      <c r="H207" s="142"/>
      <c r="I207" s="142"/>
      <c r="J207" s="142"/>
      <c r="K207" s="142"/>
      <c r="L207" s="142"/>
      <c r="M207" s="142"/>
      <c r="N207" s="143"/>
      <c r="O207" s="86"/>
    </row>
    <row r="208" spans="1:15" ht="29.25" customHeight="1">
      <c r="A208" s="102" t="s">
        <v>97</v>
      </c>
      <c r="B208" s="142"/>
      <c r="C208" s="143"/>
      <c r="D208" s="181" t="s">
        <v>735</v>
      </c>
      <c r="E208" s="182"/>
      <c r="F208" s="182"/>
      <c r="G208" s="182"/>
      <c r="H208" s="182"/>
      <c r="I208" s="182"/>
      <c r="J208" s="182"/>
      <c r="K208" s="182"/>
      <c r="L208" s="182"/>
      <c r="M208" s="182"/>
      <c r="N208" s="183"/>
      <c r="O208" s="86"/>
    </row>
    <row r="209" spans="1:15" ht="30.75" customHeight="1">
      <c r="A209" s="103" t="s">
        <v>99</v>
      </c>
      <c r="B209" s="147"/>
      <c r="C209" s="103" t="s">
        <v>100</v>
      </c>
      <c r="D209" s="147"/>
      <c r="E209" s="103" t="s">
        <v>101</v>
      </c>
      <c r="F209" s="147"/>
      <c r="G209" s="103" t="s">
        <v>102</v>
      </c>
      <c r="H209" s="147"/>
      <c r="I209" s="103" t="s">
        <v>103</v>
      </c>
      <c r="J209" s="147"/>
      <c r="K209" s="103" t="s">
        <v>104</v>
      </c>
      <c r="L209" s="147"/>
      <c r="M209" s="61" t="s">
        <v>105</v>
      </c>
      <c r="N209" s="62" t="s">
        <v>106</v>
      </c>
      <c r="O209" s="86"/>
    </row>
    <row r="210" spans="1:15" ht="75" customHeight="1">
      <c r="A210" s="172" t="s">
        <v>2</v>
      </c>
      <c r="B210" s="149"/>
      <c r="C210" s="172" t="s">
        <v>736</v>
      </c>
      <c r="D210" s="149"/>
      <c r="E210" s="172" t="s">
        <v>109</v>
      </c>
      <c r="F210" s="149"/>
      <c r="G210" s="172" t="s">
        <v>110</v>
      </c>
      <c r="H210" s="149"/>
      <c r="I210" s="172" t="s">
        <v>737</v>
      </c>
      <c r="J210" s="149"/>
      <c r="K210" s="172" t="s">
        <v>738</v>
      </c>
      <c r="L210" s="149"/>
      <c r="M210" s="174"/>
      <c r="N210" s="175" t="s">
        <v>739</v>
      </c>
      <c r="O210" s="86"/>
    </row>
    <row r="211" spans="1:1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</row>
    <row r="212" spans="1:15">
      <c r="A212" s="106" t="s">
        <v>85</v>
      </c>
      <c r="B212" s="160"/>
      <c r="C212" s="161"/>
      <c r="D212" s="141" t="str">
        <f>$A$1</f>
        <v>Experiencia de Usuario</v>
      </c>
      <c r="E212" s="142"/>
      <c r="F212" s="142"/>
      <c r="G212" s="142"/>
      <c r="H212" s="142"/>
      <c r="I212" s="142"/>
      <c r="J212" s="142"/>
      <c r="K212" s="142"/>
      <c r="L212" s="142"/>
      <c r="M212" s="142"/>
      <c r="N212" s="143"/>
      <c r="O212" s="86"/>
    </row>
    <row r="213" spans="1:15">
      <c r="A213" s="107" t="s">
        <v>86</v>
      </c>
      <c r="B213" s="140"/>
      <c r="C213" s="163"/>
      <c r="D213" s="146" t="str">
        <f>'Experiencia de usuario'!A11</f>
        <v>Se requiere que la aplicación mantenga consistencia entre plataformas y dispositivos, de forma que la experiencia sea homogénea en web, móvil o tablet.</v>
      </c>
      <c r="E213" s="142"/>
      <c r="F213" s="142"/>
      <c r="G213" s="142"/>
      <c r="H213" s="142"/>
      <c r="I213" s="142"/>
      <c r="J213" s="142"/>
      <c r="K213" s="142"/>
      <c r="L213" s="142"/>
      <c r="M213" s="142"/>
      <c r="N213" s="143"/>
      <c r="O213" s="86"/>
    </row>
    <row r="214" spans="1:15">
      <c r="A214" s="104" t="s">
        <v>87</v>
      </c>
      <c r="B214" s="144"/>
      <c r="C214" s="166"/>
      <c r="D214" s="141" t="s">
        <v>740</v>
      </c>
      <c r="E214" s="142"/>
      <c r="F214" s="142"/>
      <c r="G214" s="142"/>
      <c r="H214" s="142"/>
      <c r="I214" s="142"/>
      <c r="J214" s="142"/>
      <c r="K214" s="142"/>
      <c r="L214" s="142"/>
      <c r="M214" s="142"/>
      <c r="N214" s="143"/>
      <c r="O214" s="86"/>
    </row>
    <row r="215" spans="1:15">
      <c r="A215" s="104" t="s">
        <v>89</v>
      </c>
      <c r="B215" s="144"/>
      <c r="C215" s="166"/>
      <c r="D215" s="141" t="s">
        <v>741</v>
      </c>
      <c r="E215" s="142"/>
      <c r="F215" s="142"/>
      <c r="G215" s="142"/>
      <c r="H215" s="142"/>
      <c r="I215" s="142"/>
      <c r="J215" s="142"/>
      <c r="K215" s="142"/>
      <c r="L215" s="142"/>
      <c r="M215" s="142"/>
      <c r="N215" s="143"/>
      <c r="O215" s="86"/>
    </row>
    <row r="216" spans="1:15">
      <c r="A216" s="104" t="s">
        <v>91</v>
      </c>
      <c r="B216" s="144"/>
      <c r="C216" s="166"/>
      <c r="D216" s="141" t="s">
        <v>116</v>
      </c>
      <c r="E216" s="142"/>
      <c r="F216" s="142"/>
      <c r="G216" s="142"/>
      <c r="H216" s="142"/>
      <c r="I216" s="142"/>
      <c r="J216" s="142"/>
      <c r="K216" s="142"/>
      <c r="L216" s="142"/>
      <c r="M216" s="142"/>
      <c r="N216" s="143"/>
      <c r="O216" s="86"/>
    </row>
    <row r="217" spans="1:15" ht="25.5" customHeight="1">
      <c r="A217" s="105" t="s">
        <v>93</v>
      </c>
      <c r="B217" s="167"/>
      <c r="C217" s="168"/>
      <c r="D217" s="169" t="s">
        <v>742</v>
      </c>
      <c r="E217" s="170"/>
      <c r="F217" s="170"/>
      <c r="G217" s="170"/>
      <c r="H217" s="170"/>
      <c r="I217" s="170"/>
      <c r="J217" s="170"/>
      <c r="K217" s="170"/>
      <c r="L217" s="170"/>
      <c r="M217" s="170"/>
      <c r="N217" s="171"/>
      <c r="O217" s="86"/>
    </row>
    <row r="218" spans="1:15" ht="45" customHeight="1">
      <c r="A218" s="102" t="s">
        <v>95</v>
      </c>
      <c r="B218" s="177"/>
      <c r="C218" s="177"/>
      <c r="D218" s="183" t="s">
        <v>743</v>
      </c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86"/>
    </row>
    <row r="219" spans="1:15" ht="30" customHeight="1">
      <c r="A219" s="108" t="s">
        <v>97</v>
      </c>
      <c r="B219" s="179"/>
      <c r="C219" s="180"/>
      <c r="D219" s="178" t="s">
        <v>744</v>
      </c>
      <c r="E219" s="179"/>
      <c r="F219" s="179"/>
      <c r="G219" s="179"/>
      <c r="H219" s="179"/>
      <c r="I219" s="179"/>
      <c r="J219" s="179"/>
      <c r="K219" s="179"/>
      <c r="L219" s="179"/>
      <c r="M219" s="179"/>
      <c r="N219" s="180"/>
      <c r="O219" s="86"/>
    </row>
    <row r="220" spans="1:15" ht="30.75" customHeight="1">
      <c r="A220" s="103" t="s">
        <v>99</v>
      </c>
      <c r="B220" s="147"/>
      <c r="C220" s="103" t="s">
        <v>100</v>
      </c>
      <c r="D220" s="147"/>
      <c r="E220" s="103" t="s">
        <v>101</v>
      </c>
      <c r="F220" s="147"/>
      <c r="G220" s="103" t="s">
        <v>102</v>
      </c>
      <c r="H220" s="147"/>
      <c r="I220" s="103" t="s">
        <v>103</v>
      </c>
      <c r="J220" s="147"/>
      <c r="K220" s="103" t="s">
        <v>104</v>
      </c>
      <c r="L220" s="147"/>
      <c r="M220" s="61" t="s">
        <v>105</v>
      </c>
      <c r="N220" s="62" t="s">
        <v>106</v>
      </c>
      <c r="O220" s="86"/>
    </row>
    <row r="221" spans="1:15" ht="93" customHeight="1">
      <c r="A221" s="172" t="s">
        <v>2</v>
      </c>
      <c r="B221" s="149"/>
      <c r="C221" s="172" t="s">
        <v>745</v>
      </c>
      <c r="D221" s="149"/>
      <c r="E221" s="172" t="s">
        <v>109</v>
      </c>
      <c r="F221" s="149"/>
      <c r="G221" s="172" t="s">
        <v>110</v>
      </c>
      <c r="H221" s="149"/>
      <c r="I221" s="172" t="s">
        <v>746</v>
      </c>
      <c r="J221" s="149"/>
      <c r="K221" s="172" t="s">
        <v>747</v>
      </c>
      <c r="L221" s="149"/>
      <c r="M221" s="174"/>
      <c r="N221" s="175" t="s">
        <v>748</v>
      </c>
      <c r="O221" s="86"/>
    </row>
  </sheetData>
  <mergeCells count="560">
    <mergeCell ref="D7:N7"/>
    <mergeCell ref="A4:C4"/>
    <mergeCell ref="D15:N15"/>
    <mergeCell ref="G11:H11"/>
    <mergeCell ref="I11:J11"/>
    <mergeCell ref="D10:N10"/>
    <mergeCell ref="D18:N18"/>
    <mergeCell ref="A6:C6"/>
    <mergeCell ref="A11:B11"/>
    <mergeCell ref="A14:C14"/>
    <mergeCell ref="A7:C7"/>
    <mergeCell ref="A12:B12"/>
    <mergeCell ref="A3:C3"/>
    <mergeCell ref="A5:C5"/>
    <mergeCell ref="D9:N9"/>
    <mergeCell ref="A16:C16"/>
    <mergeCell ref="A18:C18"/>
    <mergeCell ref="C11:D11"/>
    <mergeCell ref="E11:F11"/>
    <mergeCell ref="E12:F12"/>
    <mergeCell ref="G12:H12"/>
    <mergeCell ref="A15:C15"/>
    <mergeCell ref="K11:L11"/>
    <mergeCell ref="D14:N14"/>
    <mergeCell ref="A9:C9"/>
    <mergeCell ref="D3:N3"/>
    <mergeCell ref="D5:N5"/>
    <mergeCell ref="I12:J12"/>
    <mergeCell ref="K12:L12"/>
    <mergeCell ref="D16:N16"/>
    <mergeCell ref="D6:N6"/>
    <mergeCell ref="D8:N8"/>
    <mergeCell ref="D4:N4"/>
    <mergeCell ref="C12:D12"/>
    <mergeCell ref="A8:C8"/>
    <mergeCell ref="A10:C10"/>
    <mergeCell ref="I23:J23"/>
    <mergeCell ref="A23:B23"/>
    <mergeCell ref="C23:D23"/>
    <mergeCell ref="K23:L23"/>
    <mergeCell ref="A17:C17"/>
    <mergeCell ref="A19:C19"/>
    <mergeCell ref="D21:N21"/>
    <mergeCell ref="C22:D22"/>
    <mergeCell ref="D17:N17"/>
    <mergeCell ref="D20:N20"/>
    <mergeCell ref="E23:F23"/>
    <mergeCell ref="G23:H23"/>
    <mergeCell ref="A22:B22"/>
    <mergeCell ref="A20:C20"/>
    <mergeCell ref="I22:J22"/>
    <mergeCell ref="K22:L22"/>
    <mergeCell ref="E22:F22"/>
    <mergeCell ref="G22:H22"/>
    <mergeCell ref="D19:N19"/>
    <mergeCell ref="A21:C21"/>
    <mergeCell ref="A28:C28"/>
    <mergeCell ref="D28:N28"/>
    <mergeCell ref="A29:C29"/>
    <mergeCell ref="D29:N29"/>
    <mergeCell ref="A30:C30"/>
    <mergeCell ref="D30:N30"/>
    <mergeCell ref="A25:C25"/>
    <mergeCell ref="D25:N25"/>
    <mergeCell ref="A26:C26"/>
    <mergeCell ref="D26:N26"/>
    <mergeCell ref="A27:C27"/>
    <mergeCell ref="D27:N27"/>
    <mergeCell ref="A31:C31"/>
    <mergeCell ref="D31:N31"/>
    <mergeCell ref="A32:C32"/>
    <mergeCell ref="D32:N32"/>
    <mergeCell ref="A33:B33"/>
    <mergeCell ref="C33:D33"/>
    <mergeCell ref="E33:F33"/>
    <mergeCell ref="G33:H33"/>
    <mergeCell ref="I33:J33"/>
    <mergeCell ref="K33:L33"/>
    <mergeCell ref="K34:L34"/>
    <mergeCell ref="A36:C36"/>
    <mergeCell ref="D36:N36"/>
    <mergeCell ref="A37:C37"/>
    <mergeCell ref="D37:N37"/>
    <mergeCell ref="A34:B34"/>
    <mergeCell ref="C34:D34"/>
    <mergeCell ref="E34:F34"/>
    <mergeCell ref="G34:H34"/>
    <mergeCell ref="I34:J34"/>
    <mergeCell ref="A41:C41"/>
    <mergeCell ref="D41:N41"/>
    <mergeCell ref="A42:C42"/>
    <mergeCell ref="D42:N42"/>
    <mergeCell ref="A43:C43"/>
    <mergeCell ref="D43:N43"/>
    <mergeCell ref="A38:C38"/>
    <mergeCell ref="D38:N38"/>
    <mergeCell ref="A39:C39"/>
    <mergeCell ref="D39:N39"/>
    <mergeCell ref="A40:C40"/>
    <mergeCell ref="D40:N40"/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A50:C50"/>
    <mergeCell ref="D50:N50"/>
    <mergeCell ref="A51:C51"/>
    <mergeCell ref="D51:N51"/>
    <mergeCell ref="A52:C52"/>
    <mergeCell ref="D52:N52"/>
    <mergeCell ref="A47:C47"/>
    <mergeCell ref="D47:N47"/>
    <mergeCell ref="A48:C48"/>
    <mergeCell ref="D48:N48"/>
    <mergeCell ref="A49:C49"/>
    <mergeCell ref="D49:N49"/>
    <mergeCell ref="A53:C53"/>
    <mergeCell ref="D53:N53"/>
    <mergeCell ref="A54:C54"/>
    <mergeCell ref="D54:N54"/>
    <mergeCell ref="A55:B55"/>
    <mergeCell ref="C55:D55"/>
    <mergeCell ref="E55:F55"/>
    <mergeCell ref="G55:H55"/>
    <mergeCell ref="I55:J55"/>
    <mergeCell ref="K55:L55"/>
    <mergeCell ref="K56:L56"/>
    <mergeCell ref="A58:C58"/>
    <mergeCell ref="D58:N58"/>
    <mergeCell ref="A59:C59"/>
    <mergeCell ref="D59:N59"/>
    <mergeCell ref="A56:B56"/>
    <mergeCell ref="C56:D56"/>
    <mergeCell ref="E56:F56"/>
    <mergeCell ref="G56:H56"/>
    <mergeCell ref="I56:J56"/>
    <mergeCell ref="A63:C63"/>
    <mergeCell ref="D63:N63"/>
    <mergeCell ref="A64:C64"/>
    <mergeCell ref="D64:N64"/>
    <mergeCell ref="A65:C65"/>
    <mergeCell ref="D65:N65"/>
    <mergeCell ref="A60:C60"/>
    <mergeCell ref="D60:N60"/>
    <mergeCell ref="A61:C61"/>
    <mergeCell ref="D61:N61"/>
    <mergeCell ref="A62:C62"/>
    <mergeCell ref="D62:N62"/>
    <mergeCell ref="K66:L66"/>
    <mergeCell ref="A67:B67"/>
    <mergeCell ref="C67:D67"/>
    <mergeCell ref="E67:F67"/>
    <mergeCell ref="G67:H67"/>
    <mergeCell ref="I67:J67"/>
    <mergeCell ref="K67:L67"/>
    <mergeCell ref="A66:B66"/>
    <mergeCell ref="C66:D66"/>
    <mergeCell ref="E66:F66"/>
    <mergeCell ref="G66:H66"/>
    <mergeCell ref="I66:J66"/>
    <mergeCell ref="A72:C72"/>
    <mergeCell ref="D72:N72"/>
    <mergeCell ref="A73:C73"/>
    <mergeCell ref="D73:N73"/>
    <mergeCell ref="A74:C74"/>
    <mergeCell ref="D74:N74"/>
    <mergeCell ref="A69:C69"/>
    <mergeCell ref="D69:N69"/>
    <mergeCell ref="A70:C70"/>
    <mergeCell ref="D70:N70"/>
    <mergeCell ref="A71:C71"/>
    <mergeCell ref="D71:N71"/>
    <mergeCell ref="A75:C75"/>
    <mergeCell ref="D75:N75"/>
    <mergeCell ref="A76:C76"/>
    <mergeCell ref="D76:N76"/>
    <mergeCell ref="A77:B77"/>
    <mergeCell ref="C77:D77"/>
    <mergeCell ref="E77:F77"/>
    <mergeCell ref="G77:H77"/>
    <mergeCell ref="I77:J77"/>
    <mergeCell ref="K77:L77"/>
    <mergeCell ref="K78:L78"/>
    <mergeCell ref="A80:C80"/>
    <mergeCell ref="D80:N80"/>
    <mergeCell ref="A81:C81"/>
    <mergeCell ref="D81:N81"/>
    <mergeCell ref="A78:B78"/>
    <mergeCell ref="C78:D78"/>
    <mergeCell ref="E78:F78"/>
    <mergeCell ref="G78:H78"/>
    <mergeCell ref="I78:J78"/>
    <mergeCell ref="A85:C85"/>
    <mergeCell ref="D85:N85"/>
    <mergeCell ref="A86:C86"/>
    <mergeCell ref="D86:N86"/>
    <mergeCell ref="A87:C87"/>
    <mergeCell ref="D87:N87"/>
    <mergeCell ref="A82:C82"/>
    <mergeCell ref="D82:N82"/>
    <mergeCell ref="A83:C83"/>
    <mergeCell ref="D83:N83"/>
    <mergeCell ref="A84:C84"/>
    <mergeCell ref="D84:N84"/>
    <mergeCell ref="K88:L88"/>
    <mergeCell ref="A89:B89"/>
    <mergeCell ref="C89:D89"/>
    <mergeCell ref="E89:F89"/>
    <mergeCell ref="G89:H89"/>
    <mergeCell ref="I89:J89"/>
    <mergeCell ref="K89:L89"/>
    <mergeCell ref="A88:B88"/>
    <mergeCell ref="C88:D88"/>
    <mergeCell ref="E88:F88"/>
    <mergeCell ref="G88:H88"/>
    <mergeCell ref="I88:J88"/>
    <mergeCell ref="A94:C94"/>
    <mergeCell ref="D94:N94"/>
    <mergeCell ref="A95:C95"/>
    <mergeCell ref="D95:N95"/>
    <mergeCell ref="A96:C96"/>
    <mergeCell ref="D96:N96"/>
    <mergeCell ref="A91:C91"/>
    <mergeCell ref="D91:N91"/>
    <mergeCell ref="A92:C92"/>
    <mergeCell ref="D92:N92"/>
    <mergeCell ref="A93:C93"/>
    <mergeCell ref="D93:N93"/>
    <mergeCell ref="A97:C97"/>
    <mergeCell ref="D97:N97"/>
    <mergeCell ref="A98:C98"/>
    <mergeCell ref="D98:N98"/>
    <mergeCell ref="A99:B99"/>
    <mergeCell ref="C99:D99"/>
    <mergeCell ref="E99:F99"/>
    <mergeCell ref="G99:H99"/>
    <mergeCell ref="I99:J99"/>
    <mergeCell ref="K99:L99"/>
    <mergeCell ref="K100:L100"/>
    <mergeCell ref="A102:C102"/>
    <mergeCell ref="D102:N102"/>
    <mergeCell ref="A103:C103"/>
    <mergeCell ref="D103:N103"/>
    <mergeCell ref="A100:B100"/>
    <mergeCell ref="C100:D100"/>
    <mergeCell ref="E100:F100"/>
    <mergeCell ref="G100:H100"/>
    <mergeCell ref="I100:J100"/>
    <mergeCell ref="A107:C107"/>
    <mergeCell ref="D107:N107"/>
    <mergeCell ref="A108:C108"/>
    <mergeCell ref="D108:N108"/>
    <mergeCell ref="A109:C109"/>
    <mergeCell ref="D109:N109"/>
    <mergeCell ref="A104:C104"/>
    <mergeCell ref="D104:N104"/>
    <mergeCell ref="A105:C105"/>
    <mergeCell ref="D105:N105"/>
    <mergeCell ref="A106:C106"/>
    <mergeCell ref="D106:N106"/>
    <mergeCell ref="K110:L110"/>
    <mergeCell ref="A111:B111"/>
    <mergeCell ref="C111:D111"/>
    <mergeCell ref="E111:F111"/>
    <mergeCell ref="G111:H111"/>
    <mergeCell ref="I111:J111"/>
    <mergeCell ref="K111:L111"/>
    <mergeCell ref="A110:B110"/>
    <mergeCell ref="C110:D110"/>
    <mergeCell ref="E110:F110"/>
    <mergeCell ref="G110:H110"/>
    <mergeCell ref="I110:J110"/>
    <mergeCell ref="A116:C116"/>
    <mergeCell ref="D116:N116"/>
    <mergeCell ref="A117:C117"/>
    <mergeCell ref="D117:N117"/>
    <mergeCell ref="A118:C118"/>
    <mergeCell ref="D118:N118"/>
    <mergeCell ref="A113:C113"/>
    <mergeCell ref="D113:N113"/>
    <mergeCell ref="A114:C114"/>
    <mergeCell ref="D114:N114"/>
    <mergeCell ref="A115:C115"/>
    <mergeCell ref="D115:N115"/>
    <mergeCell ref="A119:C119"/>
    <mergeCell ref="D119:N119"/>
    <mergeCell ref="A120:C120"/>
    <mergeCell ref="D120:N120"/>
    <mergeCell ref="A121:B121"/>
    <mergeCell ref="C121:D121"/>
    <mergeCell ref="E121:F121"/>
    <mergeCell ref="G121:H121"/>
    <mergeCell ref="I121:J121"/>
    <mergeCell ref="K121:L121"/>
    <mergeCell ref="K122:L122"/>
    <mergeCell ref="A124:C124"/>
    <mergeCell ref="D124:N124"/>
    <mergeCell ref="A125:C125"/>
    <mergeCell ref="D125:N125"/>
    <mergeCell ref="A122:B122"/>
    <mergeCell ref="C122:D122"/>
    <mergeCell ref="E122:F122"/>
    <mergeCell ref="G122:H122"/>
    <mergeCell ref="I122:J122"/>
    <mergeCell ref="A129:C129"/>
    <mergeCell ref="D129:N129"/>
    <mergeCell ref="A130:C130"/>
    <mergeCell ref="D130:N130"/>
    <mergeCell ref="A131:C131"/>
    <mergeCell ref="D131:N131"/>
    <mergeCell ref="A126:C126"/>
    <mergeCell ref="D126:N126"/>
    <mergeCell ref="A127:C127"/>
    <mergeCell ref="D127:N127"/>
    <mergeCell ref="A128:C128"/>
    <mergeCell ref="D128:N128"/>
    <mergeCell ref="K132:L132"/>
    <mergeCell ref="A133:B133"/>
    <mergeCell ref="C133:D133"/>
    <mergeCell ref="E133:F133"/>
    <mergeCell ref="G133:H133"/>
    <mergeCell ref="I133:J133"/>
    <mergeCell ref="K133:L133"/>
    <mergeCell ref="A132:B132"/>
    <mergeCell ref="C132:D132"/>
    <mergeCell ref="E132:F132"/>
    <mergeCell ref="G132:H132"/>
    <mergeCell ref="I132:J132"/>
    <mergeCell ref="A138:C138"/>
    <mergeCell ref="D138:N138"/>
    <mergeCell ref="A139:C139"/>
    <mergeCell ref="D139:N139"/>
    <mergeCell ref="A140:C140"/>
    <mergeCell ref="D140:N140"/>
    <mergeCell ref="A135:C135"/>
    <mergeCell ref="D135:N135"/>
    <mergeCell ref="A136:C136"/>
    <mergeCell ref="D136:N136"/>
    <mergeCell ref="A137:C137"/>
    <mergeCell ref="D137:N137"/>
    <mergeCell ref="A141:C141"/>
    <mergeCell ref="D141:N141"/>
    <mergeCell ref="A142:C142"/>
    <mergeCell ref="D142:N142"/>
    <mergeCell ref="A143:B143"/>
    <mergeCell ref="C143:D143"/>
    <mergeCell ref="E143:F143"/>
    <mergeCell ref="G143:H143"/>
    <mergeCell ref="I143:J143"/>
    <mergeCell ref="K143:L143"/>
    <mergeCell ref="K144:L144"/>
    <mergeCell ref="A146:C146"/>
    <mergeCell ref="D146:N146"/>
    <mergeCell ref="A147:C147"/>
    <mergeCell ref="D147:N147"/>
    <mergeCell ref="A144:B144"/>
    <mergeCell ref="C144:D144"/>
    <mergeCell ref="E144:F144"/>
    <mergeCell ref="G144:H144"/>
    <mergeCell ref="I144:J144"/>
    <mergeCell ref="A151:C151"/>
    <mergeCell ref="D151:N151"/>
    <mergeCell ref="A152:C152"/>
    <mergeCell ref="D152:N152"/>
    <mergeCell ref="A153:C153"/>
    <mergeCell ref="D153:N153"/>
    <mergeCell ref="A148:C148"/>
    <mergeCell ref="D148:N148"/>
    <mergeCell ref="A149:C149"/>
    <mergeCell ref="D149:N149"/>
    <mergeCell ref="A150:C150"/>
    <mergeCell ref="D150:N150"/>
    <mergeCell ref="K154:L154"/>
    <mergeCell ref="A155:B155"/>
    <mergeCell ref="C155:D155"/>
    <mergeCell ref="E155:F155"/>
    <mergeCell ref="G155:H155"/>
    <mergeCell ref="I155:J155"/>
    <mergeCell ref="K155:L155"/>
    <mergeCell ref="A154:B154"/>
    <mergeCell ref="C154:D154"/>
    <mergeCell ref="E154:F154"/>
    <mergeCell ref="G154:H154"/>
    <mergeCell ref="I154:J154"/>
    <mergeCell ref="A160:C160"/>
    <mergeCell ref="D160:N160"/>
    <mergeCell ref="A161:C161"/>
    <mergeCell ref="D161:N161"/>
    <mergeCell ref="A162:C162"/>
    <mergeCell ref="D162:N162"/>
    <mergeCell ref="A157:C157"/>
    <mergeCell ref="D157:N157"/>
    <mergeCell ref="A158:C158"/>
    <mergeCell ref="D158:N158"/>
    <mergeCell ref="A159:C159"/>
    <mergeCell ref="D159:N159"/>
    <mergeCell ref="A163:C163"/>
    <mergeCell ref="D163:N163"/>
    <mergeCell ref="A164:C164"/>
    <mergeCell ref="D164:N164"/>
    <mergeCell ref="A165:B165"/>
    <mergeCell ref="C165:D165"/>
    <mergeCell ref="E165:F165"/>
    <mergeCell ref="G165:H165"/>
    <mergeCell ref="I165:J165"/>
    <mergeCell ref="K165:L165"/>
    <mergeCell ref="K166:L166"/>
    <mergeCell ref="A168:C168"/>
    <mergeCell ref="D168:N168"/>
    <mergeCell ref="A169:C169"/>
    <mergeCell ref="D169:N169"/>
    <mergeCell ref="A166:B166"/>
    <mergeCell ref="C166:D166"/>
    <mergeCell ref="E166:F166"/>
    <mergeCell ref="G166:H166"/>
    <mergeCell ref="I166:J166"/>
    <mergeCell ref="A173:C173"/>
    <mergeCell ref="D173:N173"/>
    <mergeCell ref="A174:C174"/>
    <mergeCell ref="D174:N174"/>
    <mergeCell ref="A175:C175"/>
    <mergeCell ref="D175:N175"/>
    <mergeCell ref="A170:C170"/>
    <mergeCell ref="D170:N170"/>
    <mergeCell ref="A171:C171"/>
    <mergeCell ref="D171:N171"/>
    <mergeCell ref="A172:C172"/>
    <mergeCell ref="D172:N172"/>
    <mergeCell ref="K176:L176"/>
    <mergeCell ref="A177:B177"/>
    <mergeCell ref="C177:D177"/>
    <mergeCell ref="E177:F177"/>
    <mergeCell ref="G177:H177"/>
    <mergeCell ref="I177:J177"/>
    <mergeCell ref="K177:L177"/>
    <mergeCell ref="A176:B176"/>
    <mergeCell ref="C176:D176"/>
    <mergeCell ref="E176:F176"/>
    <mergeCell ref="G176:H176"/>
    <mergeCell ref="I176:J176"/>
    <mergeCell ref="A182:C182"/>
    <mergeCell ref="D182:N182"/>
    <mergeCell ref="A183:C183"/>
    <mergeCell ref="D183:N183"/>
    <mergeCell ref="A184:C184"/>
    <mergeCell ref="D184:N184"/>
    <mergeCell ref="A179:C179"/>
    <mergeCell ref="D179:N179"/>
    <mergeCell ref="A180:C180"/>
    <mergeCell ref="D180:N180"/>
    <mergeCell ref="A181:C181"/>
    <mergeCell ref="D181:N181"/>
    <mergeCell ref="A185:C185"/>
    <mergeCell ref="D185:N185"/>
    <mergeCell ref="A186:C186"/>
    <mergeCell ref="D186:N186"/>
    <mergeCell ref="A187:B187"/>
    <mergeCell ref="C187:D187"/>
    <mergeCell ref="E187:F187"/>
    <mergeCell ref="G187:H187"/>
    <mergeCell ref="I187:J187"/>
    <mergeCell ref="K187:L187"/>
    <mergeCell ref="K188:L188"/>
    <mergeCell ref="A190:C190"/>
    <mergeCell ref="D190:N190"/>
    <mergeCell ref="A191:C191"/>
    <mergeCell ref="D191:N191"/>
    <mergeCell ref="A188:B188"/>
    <mergeCell ref="C188:D188"/>
    <mergeCell ref="E188:F188"/>
    <mergeCell ref="G188:H188"/>
    <mergeCell ref="I188:J188"/>
    <mergeCell ref="A195:C195"/>
    <mergeCell ref="D195:N195"/>
    <mergeCell ref="A196:C196"/>
    <mergeCell ref="D196:N196"/>
    <mergeCell ref="A197:C197"/>
    <mergeCell ref="D197:N197"/>
    <mergeCell ref="A192:C192"/>
    <mergeCell ref="D192:N192"/>
    <mergeCell ref="A193:C193"/>
    <mergeCell ref="D193:N193"/>
    <mergeCell ref="A194:C194"/>
    <mergeCell ref="D194:N194"/>
    <mergeCell ref="K198:L198"/>
    <mergeCell ref="A199:B199"/>
    <mergeCell ref="C199:D199"/>
    <mergeCell ref="E199:F199"/>
    <mergeCell ref="G199:H199"/>
    <mergeCell ref="I199:J199"/>
    <mergeCell ref="K199:L199"/>
    <mergeCell ref="A198:B198"/>
    <mergeCell ref="C198:D198"/>
    <mergeCell ref="E198:F198"/>
    <mergeCell ref="G198:H198"/>
    <mergeCell ref="I198:J198"/>
    <mergeCell ref="A204:C204"/>
    <mergeCell ref="D204:N204"/>
    <mergeCell ref="A205:C205"/>
    <mergeCell ref="D205:N205"/>
    <mergeCell ref="A206:C206"/>
    <mergeCell ref="D206:N206"/>
    <mergeCell ref="A201:C201"/>
    <mergeCell ref="D201:N201"/>
    <mergeCell ref="A202:C202"/>
    <mergeCell ref="D202:N202"/>
    <mergeCell ref="A203:C203"/>
    <mergeCell ref="D203:N203"/>
    <mergeCell ref="A207:C207"/>
    <mergeCell ref="D207:N207"/>
    <mergeCell ref="A208:C208"/>
    <mergeCell ref="D208:N208"/>
    <mergeCell ref="A209:B209"/>
    <mergeCell ref="C209:D209"/>
    <mergeCell ref="E209:F209"/>
    <mergeCell ref="G209:H209"/>
    <mergeCell ref="I209:J209"/>
    <mergeCell ref="K209:L209"/>
    <mergeCell ref="K210:L210"/>
    <mergeCell ref="A212:C212"/>
    <mergeCell ref="D212:N212"/>
    <mergeCell ref="A213:C213"/>
    <mergeCell ref="D213:N213"/>
    <mergeCell ref="A210:B210"/>
    <mergeCell ref="C210:D210"/>
    <mergeCell ref="E210:F210"/>
    <mergeCell ref="G210:H210"/>
    <mergeCell ref="I210:J210"/>
    <mergeCell ref="A217:C217"/>
    <mergeCell ref="D217:N217"/>
    <mergeCell ref="A218:C218"/>
    <mergeCell ref="D218:N218"/>
    <mergeCell ref="A219:C219"/>
    <mergeCell ref="D219:N219"/>
    <mergeCell ref="A214:C214"/>
    <mergeCell ref="D214:N214"/>
    <mergeCell ref="A215:C215"/>
    <mergeCell ref="D215:N215"/>
    <mergeCell ref="A216:C216"/>
    <mergeCell ref="D216:N216"/>
    <mergeCell ref="K220:L220"/>
    <mergeCell ref="A221:B221"/>
    <mergeCell ref="C221:D221"/>
    <mergeCell ref="E221:F221"/>
    <mergeCell ref="G221:H221"/>
    <mergeCell ref="I221:J221"/>
    <mergeCell ref="K221:L221"/>
    <mergeCell ref="A220:B220"/>
    <mergeCell ref="C220:D220"/>
    <mergeCell ref="E220:F220"/>
    <mergeCell ref="G220:H220"/>
    <mergeCell ref="I220:J220"/>
  </mergeCells>
  <hyperlinks>
    <hyperlink ref="A1" location="'Experiencia de Usuario'!B1" display="Experiencia de Usuario" xr:uid="{00000000-0004-0000-16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13">
    <tabColor theme="9" tint="0.59999389629810485"/>
  </sheetPr>
  <dimension ref="A1:Q67"/>
  <sheetViews>
    <sheetView topLeftCell="D67" workbookViewId="0">
      <selection activeCell="N67" sqref="N67"/>
    </sheetView>
  </sheetViews>
  <sheetFormatPr defaultColWidth="11.42578125" defaultRowHeight="15"/>
  <cols>
    <col min="1" max="3" width="11.42578125" style="59" customWidth="1"/>
    <col min="4" max="4" width="22.28515625" style="59" customWidth="1"/>
    <col min="5" max="9" width="11.42578125" style="59" customWidth="1"/>
    <col min="10" max="10" width="26.5703125" style="59" customWidth="1"/>
    <col min="11" max="11" width="20.42578125" style="59" customWidth="1"/>
    <col min="12" max="13" width="11.42578125" style="59" customWidth="1"/>
    <col min="14" max="14" width="87.140625" style="59" customWidth="1"/>
    <col min="15" max="15" width="11.42578125" style="59" customWidth="1"/>
    <col min="16" max="16384" width="11.42578125" style="59"/>
  </cols>
  <sheetData>
    <row r="1" spans="1:15">
      <c r="A1" s="58" t="s">
        <v>18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60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Interoperabilidad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 ht="28.5" customHeight="1">
      <c r="A4" s="107" t="s">
        <v>86</v>
      </c>
      <c r="B4" s="140"/>
      <c r="C4" s="163"/>
      <c r="D4" s="146" t="str">
        <f>Interoperabilidad!A2</f>
        <v>Se requiere que la aplicación se integre correctamente con Keycloak como proveedor de identidad (OIDC), asegurando la autenticación, registro, verificación de email y recuperación de contraseña del piloto.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749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750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 ht="27" customHeight="1">
      <c r="A8" s="105" t="s">
        <v>93</v>
      </c>
      <c r="B8" s="167"/>
      <c r="C8" s="168"/>
      <c r="D8" s="169" t="s">
        <v>751</v>
      </c>
      <c r="E8" s="170"/>
      <c r="F8" s="170"/>
      <c r="G8" s="170"/>
      <c r="H8" s="170"/>
      <c r="I8" s="170"/>
      <c r="J8" s="170"/>
      <c r="K8" s="170"/>
      <c r="L8" s="170"/>
      <c r="M8" s="170"/>
      <c r="N8" s="171"/>
      <c r="O8" s="86"/>
    </row>
    <row r="9" spans="1:15" ht="48" customHeight="1">
      <c r="A9" s="102" t="s">
        <v>95</v>
      </c>
      <c r="B9" s="142"/>
      <c r="C9" s="143"/>
      <c r="D9" s="146" t="s">
        <v>752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29.25" customHeight="1">
      <c r="A10" s="102" t="s">
        <v>97</v>
      </c>
      <c r="B10" s="142"/>
      <c r="C10" s="143"/>
      <c r="D10" s="146" t="s">
        <v>753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30.7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2" t="s">
        <v>106</v>
      </c>
      <c r="O11" s="86"/>
    </row>
    <row r="12" spans="1:15" ht="147" customHeight="1">
      <c r="A12" s="172" t="s">
        <v>754</v>
      </c>
      <c r="B12" s="149"/>
      <c r="C12" s="172" t="s">
        <v>755</v>
      </c>
      <c r="D12" s="149"/>
      <c r="E12" s="172" t="s">
        <v>109</v>
      </c>
      <c r="F12" s="149"/>
      <c r="G12" s="172" t="s">
        <v>756</v>
      </c>
      <c r="H12" s="149"/>
      <c r="I12" s="172" t="s">
        <v>757</v>
      </c>
      <c r="J12" s="149"/>
      <c r="K12" s="172" t="s">
        <v>758</v>
      </c>
      <c r="L12" s="149"/>
      <c r="M12" s="174"/>
      <c r="N12" s="175" t="s">
        <v>759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Interoperabilidad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 ht="15.75" customHeight="1">
      <c r="A15" s="107" t="s">
        <v>86</v>
      </c>
      <c r="B15" s="140"/>
      <c r="C15" s="163"/>
      <c r="D15" s="146" t="str">
        <f>Interoperabilidad!A2</f>
        <v>Se requiere que la aplicación se integre correctamente con Keycloak como proveedor de identidad (OIDC), asegurando la autenticación, registro, verificación de email y recuperación de contraseña del piloto.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760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761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30.75" customHeight="1">
      <c r="A19" s="105" t="s">
        <v>93</v>
      </c>
      <c r="B19" s="167"/>
      <c r="C19" s="168"/>
      <c r="D19" s="169" t="s">
        <v>762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86"/>
    </row>
    <row r="20" spans="1:15" ht="24.75" customHeight="1">
      <c r="A20" s="102" t="s">
        <v>95</v>
      </c>
      <c r="B20" s="142"/>
      <c r="C20" s="143"/>
      <c r="D20" s="146" t="s">
        <v>763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27" customHeight="1">
      <c r="A21" s="102" t="s">
        <v>97</v>
      </c>
      <c r="B21" s="142"/>
      <c r="C21" s="143"/>
      <c r="D21" s="146" t="s">
        <v>764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 ht="30.75" customHeight="1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2" t="s">
        <v>106</v>
      </c>
      <c r="O22" s="86"/>
    </row>
    <row r="23" spans="1:15" ht="51.75" customHeight="1">
      <c r="A23" s="172" t="s">
        <v>2</v>
      </c>
      <c r="B23" s="149"/>
      <c r="C23" s="172" t="s">
        <v>765</v>
      </c>
      <c r="D23" s="149"/>
      <c r="E23" s="172" t="s">
        <v>109</v>
      </c>
      <c r="F23" s="149"/>
      <c r="G23" s="172" t="s">
        <v>756</v>
      </c>
      <c r="H23" s="149"/>
      <c r="I23" s="172" t="s">
        <v>766</v>
      </c>
      <c r="J23" s="149"/>
      <c r="K23" s="172" t="s">
        <v>767</v>
      </c>
      <c r="L23" s="149"/>
      <c r="M23" s="174"/>
      <c r="N23" s="175" t="s">
        <v>768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Interoperabilidad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 ht="32.25" customHeight="1">
      <c r="A26" s="107" t="s">
        <v>86</v>
      </c>
      <c r="B26" s="140"/>
      <c r="C26" s="163"/>
      <c r="D26" s="146" t="str">
        <f>Interoperabilidad!A3</f>
        <v>Se requiere que la comunicación entre la aplicación y Keycloak utilice tokens JWT seguros y cookies HttpOnly para proteger la información de autenticación intercambiada.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769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750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 ht="27.75" customHeight="1">
      <c r="A30" s="105" t="s">
        <v>93</v>
      </c>
      <c r="B30" s="167"/>
      <c r="C30" s="168"/>
      <c r="D30" s="169" t="s">
        <v>770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1"/>
      <c r="O30" s="86"/>
    </row>
    <row r="31" spans="1:15" ht="26.25" customHeight="1">
      <c r="A31" s="102" t="s">
        <v>95</v>
      </c>
      <c r="B31" s="142"/>
      <c r="C31" s="143"/>
      <c r="D31" s="146" t="s">
        <v>771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 ht="29.25" customHeight="1">
      <c r="A32" s="102" t="s">
        <v>97</v>
      </c>
      <c r="B32" s="142"/>
      <c r="C32" s="143"/>
      <c r="D32" s="146" t="s">
        <v>772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 ht="30.75" customHeight="1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2" t="s">
        <v>106</v>
      </c>
      <c r="O33" s="86"/>
    </row>
    <row r="34" spans="1:15" ht="59.25" customHeight="1">
      <c r="A34" s="172" t="s">
        <v>193</v>
      </c>
      <c r="B34" s="149"/>
      <c r="C34" s="172" t="s">
        <v>773</v>
      </c>
      <c r="D34" s="149"/>
      <c r="E34" s="172" t="s">
        <v>109</v>
      </c>
      <c r="F34" s="149"/>
      <c r="G34" s="172" t="s">
        <v>756</v>
      </c>
      <c r="H34" s="149"/>
      <c r="I34" s="172" t="s">
        <v>774</v>
      </c>
      <c r="J34" s="149"/>
      <c r="K34" s="172" t="s">
        <v>775</v>
      </c>
      <c r="L34" s="149"/>
      <c r="M34" s="174"/>
      <c r="N34" s="175" t="s">
        <v>776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Interoperabilidad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 ht="30.75" customHeight="1">
      <c r="A37" s="107" t="s">
        <v>86</v>
      </c>
      <c r="B37" s="140"/>
      <c r="C37" s="163"/>
      <c r="D37" s="146" t="str">
        <f>Interoperabilidad!A3</f>
        <v>Se requiere que la comunicación entre la aplicación y Keycloak utilice tokens JWT seguros y cookies HttpOnly para proteger la información de autenticación intercambiada.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777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778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116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 ht="27.75" customHeight="1">
      <c r="A41" s="105" t="s">
        <v>93</v>
      </c>
      <c r="B41" s="167"/>
      <c r="C41" s="168"/>
      <c r="D41" s="169" t="s">
        <v>779</v>
      </c>
      <c r="E41" s="170"/>
      <c r="F41" s="170"/>
      <c r="G41" s="170"/>
      <c r="H41" s="170"/>
      <c r="I41" s="170"/>
      <c r="J41" s="170"/>
      <c r="K41" s="170"/>
      <c r="L41" s="170"/>
      <c r="M41" s="170"/>
      <c r="N41" s="171"/>
      <c r="O41" s="86"/>
    </row>
    <row r="42" spans="1:15" ht="44.25" customHeight="1">
      <c r="A42" s="102" t="s">
        <v>95</v>
      </c>
      <c r="B42" s="142"/>
      <c r="C42" s="143"/>
      <c r="D42" s="146" t="s">
        <v>780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 ht="30" customHeight="1">
      <c r="A43" s="102" t="s">
        <v>97</v>
      </c>
      <c r="B43" s="142"/>
      <c r="C43" s="143"/>
      <c r="D43" s="146" t="s">
        <v>781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 ht="30.75" customHeight="1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2" t="s">
        <v>106</v>
      </c>
      <c r="O44" s="86"/>
    </row>
    <row r="45" spans="1:15" ht="180.75" customHeight="1">
      <c r="A45" s="172" t="s">
        <v>193</v>
      </c>
      <c r="B45" s="149"/>
      <c r="C45" s="172" t="s">
        <v>782</v>
      </c>
      <c r="D45" s="149"/>
      <c r="E45" s="172" t="s">
        <v>109</v>
      </c>
      <c r="F45" s="149"/>
      <c r="G45" s="172" t="s">
        <v>756</v>
      </c>
      <c r="H45" s="149"/>
      <c r="I45" s="172" t="s">
        <v>783</v>
      </c>
      <c r="J45" s="149"/>
      <c r="K45" s="172" t="s">
        <v>784</v>
      </c>
      <c r="L45" s="149"/>
      <c r="M45" s="174"/>
      <c r="N45" s="175" t="s">
        <v>785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Interoperabilidad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26.25" customHeight="1">
      <c r="A48" s="107" t="s">
        <v>86</v>
      </c>
      <c r="B48" s="140"/>
      <c r="C48" s="163"/>
      <c r="D48" s="146" t="str">
        <f>Interoperabilidad!A4</f>
        <v>Se requiere que la aplicación funcione correctamente en múltiples plataformas (Android, iOS, Web) conectándose al mismo backend Go mediante API REST, independientemente del sistema operativo del dispositivo.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7">
      <c r="A49" s="104" t="s">
        <v>87</v>
      </c>
      <c r="B49" s="144"/>
      <c r="C49" s="166"/>
      <c r="D49" s="141" t="s">
        <v>786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  <c r="P49" s="139"/>
      <c r="Q49" s="139"/>
    </row>
    <row r="50" spans="1:17">
      <c r="A50" s="104" t="s">
        <v>89</v>
      </c>
      <c r="B50" s="144"/>
      <c r="C50" s="166"/>
      <c r="D50" s="141" t="s">
        <v>750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  <c r="P50" s="139"/>
      <c r="Q50" s="139"/>
    </row>
    <row r="51" spans="1:17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  <c r="P51" s="139"/>
      <c r="Q51" s="139"/>
    </row>
    <row r="52" spans="1:17" ht="30" customHeight="1">
      <c r="A52" s="105" t="s">
        <v>93</v>
      </c>
      <c r="B52" s="167"/>
      <c r="C52" s="168"/>
      <c r="D52" s="169" t="s">
        <v>787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86"/>
      <c r="P52" s="139"/>
      <c r="Q52" s="139"/>
    </row>
    <row r="53" spans="1:17" ht="50.25" customHeight="1">
      <c r="A53" s="102" t="s">
        <v>95</v>
      </c>
      <c r="B53" s="142"/>
      <c r="C53" s="143"/>
      <c r="D53" s="146" t="s">
        <v>788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  <c r="P53" s="139"/>
      <c r="Q53" s="139"/>
    </row>
    <row r="54" spans="1:17" ht="30.75" customHeight="1">
      <c r="A54" s="102" t="s">
        <v>97</v>
      </c>
      <c r="B54" s="142"/>
      <c r="C54" s="143"/>
      <c r="D54" s="146" t="s">
        <v>789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  <c r="P54" s="139"/>
      <c r="Q54" s="139"/>
    </row>
    <row r="55" spans="1:17" ht="30.75" customHeight="1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2" t="s">
        <v>106</v>
      </c>
      <c r="O55" s="86"/>
      <c r="P55" s="139"/>
      <c r="Q55" s="139"/>
    </row>
    <row r="56" spans="1:17" ht="165.75" customHeight="1">
      <c r="A56" s="172" t="s">
        <v>2</v>
      </c>
      <c r="B56" s="149"/>
      <c r="C56" s="172" t="s">
        <v>790</v>
      </c>
      <c r="D56" s="149"/>
      <c r="E56" s="172" t="s">
        <v>109</v>
      </c>
      <c r="F56" s="149"/>
      <c r="G56" s="172" t="s">
        <v>756</v>
      </c>
      <c r="H56" s="149"/>
      <c r="I56" s="172" t="s">
        <v>791</v>
      </c>
      <c r="J56" s="149"/>
      <c r="K56" s="172" t="s">
        <v>792</v>
      </c>
      <c r="L56" s="149"/>
      <c r="M56" s="174"/>
      <c r="N56" s="175" t="s">
        <v>793</v>
      </c>
      <c r="O56" s="86"/>
      <c r="P56" s="139"/>
      <c r="Q56" s="139"/>
    </row>
    <row r="57" spans="1:1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139"/>
      <c r="Q57" s="139"/>
    </row>
    <row r="58" spans="1:17">
      <c r="A58" s="106" t="s">
        <v>85</v>
      </c>
      <c r="B58" s="160"/>
      <c r="C58" s="161"/>
      <c r="D58" s="141" t="str">
        <f>$A$1</f>
        <v>Interoperabilidad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  <c r="P58" s="139"/>
      <c r="Q58" s="139"/>
    </row>
    <row r="59" spans="1:17" ht="33.75" customHeight="1">
      <c r="A59" s="107" t="s">
        <v>86</v>
      </c>
      <c r="B59" s="140"/>
      <c r="C59" s="163"/>
      <c r="D59" s="146" t="str">
        <f>Interoperabilidad!A4</f>
        <v>Se requiere que la aplicación funcione correctamente en múltiples plataformas (Android, iOS, Web) conectándose al mismo backend Go mediante API REST, independientemente del sistema operativo del dispositivo.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  <c r="P59" s="139"/>
      <c r="Q59" s="139"/>
    </row>
    <row r="60" spans="1:17">
      <c r="A60" s="104" t="s">
        <v>87</v>
      </c>
      <c r="B60" s="144"/>
      <c r="C60" s="166"/>
      <c r="D60" s="141" t="s">
        <v>794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  <c r="P60" s="139"/>
      <c r="Q60" s="139"/>
    </row>
    <row r="61" spans="1:17">
      <c r="A61" s="104" t="s">
        <v>89</v>
      </c>
      <c r="B61" s="144"/>
      <c r="C61" s="166"/>
      <c r="D61" s="141" t="s">
        <v>795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  <c r="P61" s="139"/>
      <c r="Q61" s="139"/>
    </row>
    <row r="62" spans="1:17">
      <c r="A62" s="104" t="s">
        <v>91</v>
      </c>
      <c r="B62" s="144"/>
      <c r="C62" s="166"/>
      <c r="D62" s="141" t="s">
        <v>116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  <c r="P62" s="139"/>
      <c r="Q62" s="139"/>
    </row>
    <row r="63" spans="1:17" ht="30.75" customHeight="1">
      <c r="A63" s="105" t="s">
        <v>93</v>
      </c>
      <c r="B63" s="167"/>
      <c r="C63" s="168"/>
      <c r="D63" s="169" t="s">
        <v>796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86"/>
      <c r="P63" s="139"/>
      <c r="Q63" s="139"/>
    </row>
    <row r="64" spans="1:17" ht="48" customHeight="1">
      <c r="A64" s="102" t="s">
        <v>95</v>
      </c>
      <c r="B64" s="142"/>
      <c r="C64" s="143"/>
      <c r="D64" s="146" t="s">
        <v>797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  <c r="P64" s="139"/>
      <c r="Q64" s="139"/>
    </row>
    <row r="65" spans="1:15" ht="27.75" customHeight="1">
      <c r="A65" s="102" t="s">
        <v>97</v>
      </c>
      <c r="B65" s="142"/>
      <c r="C65" s="143"/>
      <c r="D65" s="146" t="s">
        <v>798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 ht="30.75" customHeight="1">
      <c r="A66" s="103" t="s">
        <v>99</v>
      </c>
      <c r="B66" s="147"/>
      <c r="C66" s="103" t="s">
        <v>100</v>
      </c>
      <c r="D66" s="147"/>
      <c r="E66" s="103" t="s">
        <v>101</v>
      </c>
      <c r="F66" s="147"/>
      <c r="G66" s="103" t="s">
        <v>102</v>
      </c>
      <c r="H66" s="147"/>
      <c r="I66" s="103" t="s">
        <v>103</v>
      </c>
      <c r="J66" s="147"/>
      <c r="K66" s="103" t="s">
        <v>104</v>
      </c>
      <c r="L66" s="147"/>
      <c r="M66" s="61" t="s">
        <v>105</v>
      </c>
      <c r="N66" s="62" t="s">
        <v>106</v>
      </c>
      <c r="O66" s="86"/>
    </row>
    <row r="67" spans="1:15" ht="144" customHeight="1">
      <c r="A67" s="172" t="s">
        <v>2</v>
      </c>
      <c r="B67" s="149"/>
      <c r="C67" s="172" t="s">
        <v>799</v>
      </c>
      <c r="D67" s="149"/>
      <c r="E67" s="172" t="s">
        <v>109</v>
      </c>
      <c r="F67" s="149"/>
      <c r="G67" s="172" t="s">
        <v>756</v>
      </c>
      <c r="H67" s="149"/>
      <c r="I67" s="172" t="s">
        <v>800</v>
      </c>
      <c r="J67" s="149"/>
      <c r="K67" s="172" t="s">
        <v>801</v>
      </c>
      <c r="L67" s="149"/>
      <c r="M67" s="174"/>
      <c r="N67" s="175" t="s">
        <v>802</v>
      </c>
      <c r="O67" s="86"/>
    </row>
  </sheetData>
  <mergeCells count="168">
    <mergeCell ref="D10:N10"/>
    <mergeCell ref="K11:L11"/>
    <mergeCell ref="A12:B12"/>
    <mergeCell ref="C12:D12"/>
    <mergeCell ref="A10:C10"/>
    <mergeCell ref="I12:J12"/>
    <mergeCell ref="K12:L12"/>
    <mergeCell ref="E12:F12"/>
    <mergeCell ref="G12:H12"/>
    <mergeCell ref="A11:B11"/>
    <mergeCell ref="G11:H11"/>
    <mergeCell ref="I11:J11"/>
    <mergeCell ref="C11:D11"/>
    <mergeCell ref="E11:F11"/>
    <mergeCell ref="A9:C9"/>
    <mergeCell ref="D8:N8"/>
    <mergeCell ref="A3:C3"/>
    <mergeCell ref="A5:C5"/>
    <mergeCell ref="A4:C4"/>
    <mergeCell ref="D9:N9"/>
    <mergeCell ref="A7:C7"/>
    <mergeCell ref="D3:N3"/>
    <mergeCell ref="D5:N5"/>
    <mergeCell ref="A8:C8"/>
    <mergeCell ref="D6:N6"/>
    <mergeCell ref="D7:N7"/>
    <mergeCell ref="D4:N4"/>
    <mergeCell ref="A6:C6"/>
    <mergeCell ref="A17:C17"/>
    <mergeCell ref="D17:N17"/>
    <mergeCell ref="A18:C18"/>
    <mergeCell ref="D18:N18"/>
    <mergeCell ref="A19:C19"/>
    <mergeCell ref="D19:N19"/>
    <mergeCell ref="A14:C14"/>
    <mergeCell ref="D14:N14"/>
    <mergeCell ref="A15:C15"/>
    <mergeCell ref="D15:N15"/>
    <mergeCell ref="A16:C16"/>
    <mergeCell ref="D16:N16"/>
    <mergeCell ref="A20:C20"/>
    <mergeCell ref="D20:N20"/>
    <mergeCell ref="A21:C21"/>
    <mergeCell ref="D21:N21"/>
    <mergeCell ref="A22:B22"/>
    <mergeCell ref="C22:D22"/>
    <mergeCell ref="E22:F22"/>
    <mergeCell ref="G22:H22"/>
    <mergeCell ref="I22:J22"/>
    <mergeCell ref="K22:L22"/>
    <mergeCell ref="K23:L23"/>
    <mergeCell ref="A25:C25"/>
    <mergeCell ref="D25:N25"/>
    <mergeCell ref="A26:C26"/>
    <mergeCell ref="D26:N26"/>
    <mergeCell ref="A23:B23"/>
    <mergeCell ref="C23:D23"/>
    <mergeCell ref="E23:F23"/>
    <mergeCell ref="G23:H23"/>
    <mergeCell ref="I23:J23"/>
    <mergeCell ref="A30:C30"/>
    <mergeCell ref="D30:N30"/>
    <mergeCell ref="A31:C31"/>
    <mergeCell ref="D31:N31"/>
    <mergeCell ref="A32:C32"/>
    <mergeCell ref="D32:N32"/>
    <mergeCell ref="A27:C27"/>
    <mergeCell ref="D27:N27"/>
    <mergeCell ref="A28:C28"/>
    <mergeCell ref="D28:N28"/>
    <mergeCell ref="A29:C29"/>
    <mergeCell ref="D29:N29"/>
    <mergeCell ref="K33:L33"/>
    <mergeCell ref="A34:B34"/>
    <mergeCell ref="C34:D34"/>
    <mergeCell ref="E34:F34"/>
    <mergeCell ref="G34:H34"/>
    <mergeCell ref="I34:J34"/>
    <mergeCell ref="K34:L34"/>
    <mergeCell ref="A33:B33"/>
    <mergeCell ref="C33:D33"/>
    <mergeCell ref="E33:F33"/>
    <mergeCell ref="G33:H33"/>
    <mergeCell ref="I33:J33"/>
    <mergeCell ref="A39:C39"/>
    <mergeCell ref="D39:N39"/>
    <mergeCell ref="A40:C40"/>
    <mergeCell ref="D40:N40"/>
    <mergeCell ref="A41:C41"/>
    <mergeCell ref="D41:N41"/>
    <mergeCell ref="A36:C36"/>
    <mergeCell ref="D36:N36"/>
    <mergeCell ref="A37:C37"/>
    <mergeCell ref="D37:N37"/>
    <mergeCell ref="A38:C38"/>
    <mergeCell ref="D38:N38"/>
    <mergeCell ref="A42:C42"/>
    <mergeCell ref="D42:N42"/>
    <mergeCell ref="A43:C43"/>
    <mergeCell ref="D43:N43"/>
    <mergeCell ref="A44:B44"/>
    <mergeCell ref="C44:D44"/>
    <mergeCell ref="E44:F44"/>
    <mergeCell ref="G44:H44"/>
    <mergeCell ref="I44:J44"/>
    <mergeCell ref="K44:L44"/>
    <mergeCell ref="K45:L45"/>
    <mergeCell ref="A47:C47"/>
    <mergeCell ref="D47:N47"/>
    <mergeCell ref="A48:C48"/>
    <mergeCell ref="D48:N48"/>
    <mergeCell ref="A45:B45"/>
    <mergeCell ref="C45:D45"/>
    <mergeCell ref="E45:F45"/>
    <mergeCell ref="G45:H45"/>
    <mergeCell ref="I45:J45"/>
    <mergeCell ref="A52:C52"/>
    <mergeCell ref="D52:N52"/>
    <mergeCell ref="A53:C53"/>
    <mergeCell ref="D53:N53"/>
    <mergeCell ref="A54:C54"/>
    <mergeCell ref="D54:N54"/>
    <mergeCell ref="A49:C49"/>
    <mergeCell ref="D49:N49"/>
    <mergeCell ref="A50:C50"/>
    <mergeCell ref="D50:N50"/>
    <mergeCell ref="A51:C51"/>
    <mergeCell ref="D51:N51"/>
    <mergeCell ref="K55:L55"/>
    <mergeCell ref="A56:B56"/>
    <mergeCell ref="C56:D56"/>
    <mergeCell ref="E56:F56"/>
    <mergeCell ref="G56:H56"/>
    <mergeCell ref="I56:J56"/>
    <mergeCell ref="K56:L56"/>
    <mergeCell ref="A55:B55"/>
    <mergeCell ref="C55:D55"/>
    <mergeCell ref="E55:F55"/>
    <mergeCell ref="G55:H55"/>
    <mergeCell ref="I55:J55"/>
    <mergeCell ref="A61:C61"/>
    <mergeCell ref="D61:N61"/>
    <mergeCell ref="A62:C62"/>
    <mergeCell ref="D62:N62"/>
    <mergeCell ref="A63:C63"/>
    <mergeCell ref="D63:N63"/>
    <mergeCell ref="A58:C58"/>
    <mergeCell ref="D58:N58"/>
    <mergeCell ref="A59:C59"/>
    <mergeCell ref="D59:N59"/>
    <mergeCell ref="A60:C60"/>
    <mergeCell ref="D60:N60"/>
    <mergeCell ref="K67:L67"/>
    <mergeCell ref="A67:B67"/>
    <mergeCell ref="C67:D67"/>
    <mergeCell ref="E67:F67"/>
    <mergeCell ref="G67:H67"/>
    <mergeCell ref="I67:J67"/>
    <mergeCell ref="A64:C64"/>
    <mergeCell ref="D64:N64"/>
    <mergeCell ref="A65:C65"/>
    <mergeCell ref="D65:N65"/>
    <mergeCell ref="A66:B66"/>
    <mergeCell ref="C66:D66"/>
    <mergeCell ref="E66:F66"/>
    <mergeCell ref="G66:H66"/>
    <mergeCell ref="I66:J66"/>
    <mergeCell ref="K66:L66"/>
  </mergeCells>
  <hyperlinks>
    <hyperlink ref="A1" location="'Interoperabilidad'!B1" display="Interoperabilidad" xr:uid="{00000000-0004-0000-17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59999389629810485"/>
  </sheetPr>
  <dimension ref="A1:O116"/>
  <sheetViews>
    <sheetView topLeftCell="A47" workbookViewId="0">
      <selection activeCell="G109" sqref="A109:H109"/>
    </sheetView>
  </sheetViews>
  <sheetFormatPr defaultColWidth="11.42578125" defaultRowHeight="15"/>
  <cols>
    <col min="1" max="1" width="12.140625" style="59" bestFit="1" customWidth="1"/>
    <col min="2" max="9" width="11.42578125" style="59" customWidth="1"/>
    <col min="10" max="10" width="61.28515625" style="59" customWidth="1"/>
    <col min="11" max="11" width="11.42578125" style="59" customWidth="1"/>
    <col min="12" max="12" width="37.42578125" style="59" customWidth="1"/>
    <col min="13" max="13" width="11.42578125" style="59" customWidth="1"/>
    <col min="14" max="14" width="69.7109375" style="59" customWidth="1"/>
    <col min="15" max="16384" width="11.42578125" style="59"/>
  </cols>
  <sheetData>
    <row r="1" spans="1:15">
      <c r="A1" s="58" t="s">
        <v>10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109" t="s">
        <v>85</v>
      </c>
      <c r="B2" s="140"/>
      <c r="C2" s="140"/>
      <c r="D2" s="146" t="str">
        <f>$A$1</f>
        <v>Rendimiento</v>
      </c>
      <c r="E2" s="142"/>
      <c r="F2" s="142"/>
      <c r="G2" s="142"/>
      <c r="H2" s="142"/>
      <c r="I2" s="142"/>
      <c r="J2" s="142"/>
      <c r="K2" s="142"/>
      <c r="L2" s="142"/>
      <c r="M2" s="142"/>
      <c r="N2" s="143"/>
      <c r="O2" s="86"/>
    </row>
    <row r="3" spans="1:15" ht="29.25" customHeight="1">
      <c r="A3" s="109" t="s">
        <v>86</v>
      </c>
      <c r="B3" s="140"/>
      <c r="C3" s="140"/>
      <c r="D3" s="146" t="str">
        <f>Rendimiento!A2</f>
        <v>Se requiere que la aplicación haga un uso eficiente de los recursos del servidor, utilizando Go con Gin framework y pool de conexiones MySQL para minimizar el consumo de memoria y CPU.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>
      <c r="A4" s="124" t="s">
        <v>87</v>
      </c>
      <c r="B4" s="144"/>
      <c r="C4" s="145"/>
      <c r="D4" s="146" t="s">
        <v>803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24" t="s">
        <v>89</v>
      </c>
      <c r="B5" s="144"/>
      <c r="C5" s="145"/>
      <c r="D5" s="146" t="s">
        <v>804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24" t="s">
        <v>91</v>
      </c>
      <c r="B6" s="144"/>
      <c r="C6" s="145"/>
      <c r="D6" s="146" t="s">
        <v>92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>
      <c r="A7" s="124" t="s">
        <v>93</v>
      </c>
      <c r="B7" s="144"/>
      <c r="C7" s="145"/>
      <c r="D7" s="146" t="s">
        <v>805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 ht="44.25" customHeight="1">
      <c r="A8" s="124" t="s">
        <v>95</v>
      </c>
      <c r="B8" s="144"/>
      <c r="C8" s="145"/>
      <c r="D8" s="146" t="s">
        <v>806</v>
      </c>
      <c r="E8" s="142"/>
      <c r="F8" s="142"/>
      <c r="G8" s="142"/>
      <c r="H8" s="142"/>
      <c r="I8" s="142"/>
      <c r="J8" s="142"/>
      <c r="K8" s="142"/>
      <c r="L8" s="142"/>
      <c r="M8" s="142"/>
      <c r="N8" s="143"/>
      <c r="O8" s="86"/>
    </row>
    <row r="9" spans="1:15" ht="34.5" customHeight="1">
      <c r="A9" s="124" t="s">
        <v>97</v>
      </c>
      <c r="B9" s="144"/>
      <c r="C9" s="145"/>
      <c r="D9" s="146" t="s">
        <v>807</v>
      </c>
      <c r="E9" s="142"/>
      <c r="F9" s="142"/>
      <c r="G9" s="142"/>
      <c r="H9" s="142"/>
      <c r="I9" s="142"/>
      <c r="J9" s="142"/>
      <c r="K9" s="142"/>
      <c r="L9" s="142"/>
      <c r="M9" s="142"/>
      <c r="N9" s="143"/>
      <c r="O9" s="86"/>
    </row>
    <row r="10" spans="1:15" ht="30.75" customHeight="1">
      <c r="A10" s="125" t="s">
        <v>99</v>
      </c>
      <c r="B10" s="147"/>
      <c r="C10" s="126" t="s">
        <v>100</v>
      </c>
      <c r="D10" s="147"/>
      <c r="E10" s="127" t="s">
        <v>101</v>
      </c>
      <c r="F10" s="147"/>
      <c r="G10" s="127" t="s">
        <v>102</v>
      </c>
      <c r="H10" s="147"/>
      <c r="I10" s="127" t="s">
        <v>103</v>
      </c>
      <c r="J10" s="147"/>
      <c r="K10" s="127" t="s">
        <v>104</v>
      </c>
      <c r="L10" s="147"/>
      <c r="M10" s="65" t="s">
        <v>105</v>
      </c>
      <c r="N10" s="65" t="s">
        <v>106</v>
      </c>
      <c r="O10" s="86"/>
    </row>
    <row r="11" spans="1:15" ht="106.5" customHeight="1">
      <c r="A11" s="148" t="s">
        <v>808</v>
      </c>
      <c r="B11" s="149"/>
      <c r="C11" s="150" t="s">
        <v>809</v>
      </c>
      <c r="D11" s="149"/>
      <c r="E11" s="150" t="s">
        <v>109</v>
      </c>
      <c r="F11" s="149"/>
      <c r="G11" s="150" t="s">
        <v>259</v>
      </c>
      <c r="H11" s="149"/>
      <c r="I11" s="150" t="s">
        <v>810</v>
      </c>
      <c r="J11" s="149"/>
      <c r="K11" s="150" t="s">
        <v>811</v>
      </c>
      <c r="L11" s="149"/>
      <c r="M11" s="184"/>
      <c r="N11" s="184" t="s">
        <v>812</v>
      </c>
      <c r="O11" s="86"/>
    </row>
    <row r="12" spans="1:15">
      <c r="A12" s="88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</row>
    <row r="13" spans="1:15">
      <c r="A13" s="109" t="s">
        <v>85</v>
      </c>
      <c r="B13" s="140"/>
      <c r="C13" s="140"/>
      <c r="D13" s="146" t="str">
        <f>$A$1</f>
        <v>Rendimiento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3"/>
      <c r="O13" s="86"/>
    </row>
    <row r="14" spans="1:15">
      <c r="A14" s="109" t="s">
        <v>86</v>
      </c>
      <c r="B14" s="140"/>
      <c r="C14" s="140"/>
      <c r="D14" s="146" t="str">
        <f>Rendimiento!A2</f>
        <v>Se requiere que la aplicación haga un uso eficiente de los recursos del servidor, utilizando Go con Gin framework y pool de conexiones MySQL para minimizar el consumo de memoria y CPU.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>
      <c r="A15" s="124" t="s">
        <v>87</v>
      </c>
      <c r="B15" s="144"/>
      <c r="C15" s="145"/>
      <c r="D15" s="146" t="s">
        <v>813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24" t="s">
        <v>89</v>
      </c>
      <c r="B16" s="144"/>
      <c r="C16" s="145"/>
      <c r="D16" s="146" t="s">
        <v>814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24" t="s">
        <v>91</v>
      </c>
      <c r="B17" s="144"/>
      <c r="C17" s="145"/>
      <c r="D17" s="146" t="s">
        <v>116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24" t="s">
        <v>93</v>
      </c>
      <c r="B18" s="144"/>
      <c r="C18" s="145"/>
      <c r="D18" s="146" t="s">
        <v>815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 ht="34.5" customHeight="1">
      <c r="A19" s="124" t="s">
        <v>95</v>
      </c>
      <c r="B19" s="144"/>
      <c r="C19" s="145"/>
      <c r="D19" s="146" t="s">
        <v>816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3"/>
      <c r="O19" s="86"/>
    </row>
    <row r="20" spans="1:15" ht="19.5" customHeight="1">
      <c r="A20" s="124" t="s">
        <v>97</v>
      </c>
      <c r="B20" s="144"/>
      <c r="C20" s="145"/>
      <c r="D20" s="146" t="s">
        <v>817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3"/>
      <c r="O20" s="86"/>
    </row>
    <row r="21" spans="1:15" ht="30.75" customHeight="1">
      <c r="A21" s="125" t="s">
        <v>99</v>
      </c>
      <c r="B21" s="147"/>
      <c r="C21" s="126" t="s">
        <v>100</v>
      </c>
      <c r="D21" s="147"/>
      <c r="E21" s="127" t="s">
        <v>101</v>
      </c>
      <c r="F21" s="147"/>
      <c r="G21" s="127" t="s">
        <v>102</v>
      </c>
      <c r="H21" s="147"/>
      <c r="I21" s="127" t="s">
        <v>103</v>
      </c>
      <c r="J21" s="147"/>
      <c r="K21" s="127" t="s">
        <v>104</v>
      </c>
      <c r="L21" s="147"/>
      <c r="M21" s="65" t="s">
        <v>105</v>
      </c>
      <c r="N21" s="65" t="s">
        <v>106</v>
      </c>
      <c r="O21" s="86"/>
    </row>
    <row r="22" spans="1:15" ht="110.25" customHeight="1">
      <c r="A22" s="148" t="s">
        <v>193</v>
      </c>
      <c r="B22" s="149"/>
      <c r="C22" s="150" t="s">
        <v>818</v>
      </c>
      <c r="D22" s="149"/>
      <c r="E22" s="150" t="s">
        <v>109</v>
      </c>
      <c r="F22" s="149"/>
      <c r="G22" s="150" t="s">
        <v>259</v>
      </c>
      <c r="H22" s="149"/>
      <c r="I22" s="150" t="s">
        <v>819</v>
      </c>
      <c r="J22" s="149"/>
      <c r="K22" s="150" t="s">
        <v>820</v>
      </c>
      <c r="L22" s="149"/>
      <c r="M22" s="184"/>
      <c r="N22" s="184" t="s">
        <v>821</v>
      </c>
      <c r="O22" s="86"/>
    </row>
    <row r="23" spans="1:15">
      <c r="A23" s="88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</row>
    <row r="24" spans="1:15">
      <c r="A24" s="109" t="s">
        <v>85</v>
      </c>
      <c r="B24" s="140"/>
      <c r="C24" s="140"/>
      <c r="D24" s="146" t="str">
        <f>$A$1</f>
        <v>Rendimiento</v>
      </c>
      <c r="E24" s="142"/>
      <c r="F24" s="142"/>
      <c r="G24" s="142"/>
      <c r="H24" s="142"/>
      <c r="I24" s="142"/>
      <c r="J24" s="142"/>
      <c r="K24" s="142"/>
      <c r="L24" s="142"/>
      <c r="M24" s="142"/>
      <c r="N24" s="143"/>
      <c r="O24" s="86"/>
    </row>
    <row r="25" spans="1:15">
      <c r="A25" s="109" t="s">
        <v>86</v>
      </c>
      <c r="B25" s="140"/>
      <c r="C25" s="140"/>
      <c r="D25" s="146" t="str">
        <f>Rendimiento!A3</f>
        <v>Se requiere que la aplicación maneje eficientemente el historial de vuelos del piloto, manteniendo tiempos de respuesta estables a medida que crece el número de registros.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>
      <c r="A26" s="124" t="s">
        <v>87</v>
      </c>
      <c r="B26" s="144"/>
      <c r="C26" s="145"/>
      <c r="D26" s="146" t="s">
        <v>822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24" t="s">
        <v>89</v>
      </c>
      <c r="B27" s="144"/>
      <c r="C27" s="145"/>
      <c r="D27" s="146" t="s">
        <v>823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24" t="s">
        <v>91</v>
      </c>
      <c r="B28" s="144"/>
      <c r="C28" s="145"/>
      <c r="D28" s="146" t="s">
        <v>92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24" t="s">
        <v>93</v>
      </c>
      <c r="B29" s="144"/>
      <c r="C29" s="145"/>
      <c r="D29" s="146" t="s">
        <v>824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 ht="49.5" customHeight="1">
      <c r="A30" s="124" t="s">
        <v>95</v>
      </c>
      <c r="B30" s="144"/>
      <c r="C30" s="145"/>
      <c r="D30" s="146" t="s">
        <v>825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3"/>
      <c r="O30" s="86"/>
    </row>
    <row r="31" spans="1:15" ht="32.25" customHeight="1">
      <c r="A31" s="124" t="s">
        <v>97</v>
      </c>
      <c r="B31" s="144"/>
      <c r="C31" s="145"/>
      <c r="D31" s="146" t="s">
        <v>826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3"/>
      <c r="O31" s="86"/>
    </row>
    <row r="32" spans="1:15" ht="30.75" customHeight="1">
      <c r="A32" s="125" t="s">
        <v>99</v>
      </c>
      <c r="B32" s="147"/>
      <c r="C32" s="126" t="s">
        <v>100</v>
      </c>
      <c r="D32" s="147"/>
      <c r="E32" s="127" t="s">
        <v>101</v>
      </c>
      <c r="F32" s="147"/>
      <c r="G32" s="127" t="s">
        <v>102</v>
      </c>
      <c r="H32" s="147"/>
      <c r="I32" s="127" t="s">
        <v>103</v>
      </c>
      <c r="J32" s="147"/>
      <c r="K32" s="127" t="s">
        <v>104</v>
      </c>
      <c r="L32" s="147"/>
      <c r="M32" s="65" t="s">
        <v>105</v>
      </c>
      <c r="N32" s="65" t="s">
        <v>106</v>
      </c>
      <c r="O32" s="86"/>
    </row>
    <row r="33" spans="1:15" ht="79.5" customHeight="1">
      <c r="A33" s="148" t="s">
        <v>2</v>
      </c>
      <c r="B33" s="149"/>
      <c r="C33" s="150" t="s">
        <v>827</v>
      </c>
      <c r="D33" s="149"/>
      <c r="E33" s="150" t="s">
        <v>109</v>
      </c>
      <c r="F33" s="149"/>
      <c r="G33" s="150" t="s">
        <v>259</v>
      </c>
      <c r="H33" s="149"/>
      <c r="I33" s="150" t="s">
        <v>828</v>
      </c>
      <c r="J33" s="149"/>
      <c r="K33" s="150" t="s">
        <v>829</v>
      </c>
      <c r="L33" s="149"/>
      <c r="M33" s="184"/>
      <c r="N33" s="184" t="s">
        <v>830</v>
      </c>
      <c r="O33" s="86"/>
    </row>
    <row r="34" spans="1:15">
      <c r="A34" s="88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</row>
    <row r="35" spans="1:15">
      <c r="A35" s="109" t="s">
        <v>85</v>
      </c>
      <c r="B35" s="140"/>
      <c r="C35" s="140"/>
      <c r="D35" s="146" t="str">
        <f>$A$1</f>
        <v>Rendimiento</v>
      </c>
      <c r="E35" s="142"/>
      <c r="F35" s="142"/>
      <c r="G35" s="142"/>
      <c r="H35" s="142"/>
      <c r="I35" s="142"/>
      <c r="J35" s="142"/>
      <c r="K35" s="142"/>
      <c r="L35" s="142"/>
      <c r="M35" s="142"/>
      <c r="N35" s="143"/>
      <c r="O35" s="86"/>
    </row>
    <row r="36" spans="1:15">
      <c r="A36" s="109" t="s">
        <v>86</v>
      </c>
      <c r="B36" s="140"/>
      <c r="C36" s="140"/>
      <c r="D36" s="146" t="str">
        <f>Rendimiento!A3</f>
        <v>Se requiere que la aplicación maneje eficientemente el historial de vuelos del piloto, manteniendo tiempos de respuesta estables a medida que crece el número de registros.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>
      <c r="A37" s="124" t="s">
        <v>87</v>
      </c>
      <c r="B37" s="144"/>
      <c r="C37" s="145"/>
      <c r="D37" s="146" t="s">
        <v>831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24" t="s">
        <v>89</v>
      </c>
      <c r="B38" s="144"/>
      <c r="C38" s="145"/>
      <c r="D38" s="146" t="s">
        <v>527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24" t="s">
        <v>91</v>
      </c>
      <c r="B39" s="144"/>
      <c r="C39" s="145"/>
      <c r="D39" s="146" t="s">
        <v>116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24" t="s">
        <v>93</v>
      </c>
      <c r="B40" s="144"/>
      <c r="C40" s="145"/>
      <c r="D40" s="146" t="s">
        <v>832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 ht="23.25" customHeight="1">
      <c r="A41" s="124" t="s">
        <v>95</v>
      </c>
      <c r="B41" s="144"/>
      <c r="C41" s="145"/>
      <c r="D41" s="146" t="s">
        <v>833</v>
      </c>
      <c r="E41" s="142"/>
      <c r="F41" s="142"/>
      <c r="G41" s="142"/>
      <c r="H41" s="142"/>
      <c r="I41" s="142"/>
      <c r="J41" s="142"/>
      <c r="K41" s="142"/>
      <c r="L41" s="142"/>
      <c r="M41" s="142"/>
      <c r="N41" s="143"/>
      <c r="O41" s="86"/>
    </row>
    <row r="42" spans="1:15">
      <c r="A42" s="124" t="s">
        <v>97</v>
      </c>
      <c r="B42" s="144"/>
      <c r="C42" s="145"/>
      <c r="D42" s="146" t="s">
        <v>834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86"/>
    </row>
    <row r="43" spans="1:15" ht="30.75" customHeight="1">
      <c r="A43" s="125" t="s">
        <v>99</v>
      </c>
      <c r="B43" s="147"/>
      <c r="C43" s="126" t="s">
        <v>100</v>
      </c>
      <c r="D43" s="147"/>
      <c r="E43" s="127" t="s">
        <v>101</v>
      </c>
      <c r="F43" s="147"/>
      <c r="G43" s="127" t="s">
        <v>102</v>
      </c>
      <c r="H43" s="147"/>
      <c r="I43" s="127" t="s">
        <v>103</v>
      </c>
      <c r="J43" s="147"/>
      <c r="K43" s="127" t="s">
        <v>104</v>
      </c>
      <c r="L43" s="147"/>
      <c r="M43" s="65" t="s">
        <v>105</v>
      </c>
      <c r="N43" s="65" t="s">
        <v>106</v>
      </c>
      <c r="O43" s="86"/>
    </row>
    <row r="44" spans="1:15" ht="93.75" customHeight="1">
      <c r="A44" s="148" t="s">
        <v>2</v>
      </c>
      <c r="B44" s="149"/>
      <c r="C44" s="150" t="s">
        <v>835</v>
      </c>
      <c r="D44" s="149"/>
      <c r="E44" s="150" t="s">
        <v>109</v>
      </c>
      <c r="F44" s="149"/>
      <c r="G44" s="150" t="s">
        <v>259</v>
      </c>
      <c r="H44" s="149"/>
      <c r="I44" s="150" t="s">
        <v>532</v>
      </c>
      <c r="J44" s="149"/>
      <c r="K44" s="150" t="s">
        <v>836</v>
      </c>
      <c r="L44" s="149"/>
      <c r="M44" s="184"/>
      <c r="N44" s="184" t="s">
        <v>534</v>
      </c>
      <c r="O44" s="86"/>
    </row>
    <row r="45" spans="1:15">
      <c r="A45" s="88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</row>
    <row r="46" spans="1:15" ht="15" customHeight="1">
      <c r="A46" s="109" t="s">
        <v>85</v>
      </c>
      <c r="B46" s="140"/>
      <c r="C46" s="140"/>
      <c r="D46" s="146" t="str">
        <f>$A$1</f>
        <v>Rendimiento</v>
      </c>
      <c r="E46" s="142"/>
      <c r="F46" s="142"/>
      <c r="G46" s="142"/>
      <c r="H46" s="142"/>
      <c r="I46" s="142"/>
      <c r="J46" s="142"/>
      <c r="K46" s="142"/>
      <c r="L46" s="142"/>
      <c r="M46" s="142"/>
      <c r="N46" s="143"/>
      <c r="O46" s="86"/>
    </row>
    <row r="47" spans="1:15">
      <c r="A47" s="109" t="s">
        <v>86</v>
      </c>
      <c r="B47" s="140"/>
      <c r="C47" s="140"/>
      <c r="D47" s="146" t="str">
        <f>Rendimiento!A4</f>
        <v>Se requiere que la respuesta de la aplicación ante una solicitud del usuario no supere los 2 segundos en condiciones operativas normales, garantizando una experiencia fluida y ágil.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15" customHeight="1">
      <c r="A48" s="124" t="s">
        <v>87</v>
      </c>
      <c r="B48" s="144"/>
      <c r="C48" s="145"/>
      <c r="D48" s="146" t="s">
        <v>837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 ht="15" customHeight="1">
      <c r="A49" s="124" t="s">
        <v>89</v>
      </c>
      <c r="B49" s="144"/>
      <c r="C49" s="145"/>
      <c r="D49" s="146" t="s">
        <v>838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24" t="s">
        <v>91</v>
      </c>
      <c r="B50" s="144"/>
      <c r="C50" s="145"/>
      <c r="D50" s="146" t="s">
        <v>92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 ht="15" customHeight="1">
      <c r="A51" s="124" t="s">
        <v>93</v>
      </c>
      <c r="B51" s="144"/>
      <c r="C51" s="145"/>
      <c r="D51" s="146" t="s">
        <v>839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 ht="27" customHeight="1">
      <c r="A52" s="124" t="s">
        <v>95</v>
      </c>
      <c r="B52" s="144"/>
      <c r="C52" s="145"/>
      <c r="D52" s="146" t="s">
        <v>840</v>
      </c>
      <c r="E52" s="142"/>
      <c r="F52" s="142"/>
      <c r="G52" s="142"/>
      <c r="H52" s="142"/>
      <c r="I52" s="142"/>
      <c r="J52" s="142"/>
      <c r="K52" s="142"/>
      <c r="L52" s="142"/>
      <c r="M52" s="142"/>
      <c r="N52" s="143"/>
      <c r="O52" s="86"/>
    </row>
    <row r="53" spans="1:15" ht="15" customHeight="1">
      <c r="A53" s="124" t="s">
        <v>97</v>
      </c>
      <c r="B53" s="144"/>
      <c r="C53" s="145"/>
      <c r="D53" s="146" t="s">
        <v>841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86"/>
    </row>
    <row r="54" spans="1:15" ht="15" customHeight="1">
      <c r="A54" s="125" t="s">
        <v>99</v>
      </c>
      <c r="B54" s="147"/>
      <c r="C54" s="126" t="s">
        <v>100</v>
      </c>
      <c r="D54" s="147"/>
      <c r="E54" s="127" t="s">
        <v>101</v>
      </c>
      <c r="F54" s="147"/>
      <c r="G54" s="127" t="s">
        <v>102</v>
      </c>
      <c r="H54" s="147"/>
      <c r="I54" s="127" t="s">
        <v>103</v>
      </c>
      <c r="J54" s="147"/>
      <c r="K54" s="127" t="s">
        <v>104</v>
      </c>
      <c r="L54" s="147"/>
      <c r="M54" s="65" t="s">
        <v>105</v>
      </c>
      <c r="N54" s="65" t="s">
        <v>106</v>
      </c>
      <c r="O54" s="86"/>
    </row>
    <row r="55" spans="1:15" ht="74.25" customHeight="1">
      <c r="A55" s="148" t="s">
        <v>2</v>
      </c>
      <c r="B55" s="149"/>
      <c r="C55" s="150" t="s">
        <v>667</v>
      </c>
      <c r="D55" s="149"/>
      <c r="E55" s="150" t="s">
        <v>109</v>
      </c>
      <c r="F55" s="149"/>
      <c r="G55" s="150" t="s">
        <v>259</v>
      </c>
      <c r="H55" s="149"/>
      <c r="I55" s="150" t="s">
        <v>668</v>
      </c>
      <c r="J55" s="149"/>
      <c r="K55" s="150" t="s">
        <v>842</v>
      </c>
      <c r="L55" s="149"/>
      <c r="M55" s="184"/>
      <c r="N55" s="184" t="s">
        <v>843</v>
      </c>
      <c r="O55" s="86"/>
    </row>
    <row r="56" spans="1:15">
      <c r="A56" s="88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</row>
    <row r="57" spans="1:15" ht="15" customHeight="1">
      <c r="A57" s="109" t="s">
        <v>85</v>
      </c>
      <c r="B57" s="140"/>
      <c r="C57" s="140"/>
      <c r="D57" s="146" t="str">
        <f>$A$1</f>
        <v>Rendimiento</v>
      </c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86"/>
    </row>
    <row r="58" spans="1:15">
      <c r="A58" s="109" t="s">
        <v>86</v>
      </c>
      <c r="B58" s="140"/>
      <c r="C58" s="140"/>
      <c r="D58" s="146" t="str">
        <f>Rendimiento!A4</f>
        <v>Se requiere que la respuesta de la aplicación ante una solicitud del usuario no supere los 2 segundos en condiciones operativas normales, garantizando una experiencia fluida y ágil.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 ht="15" customHeight="1">
      <c r="A59" s="124" t="s">
        <v>87</v>
      </c>
      <c r="B59" s="144"/>
      <c r="C59" s="145"/>
      <c r="D59" s="146" t="s">
        <v>844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 ht="15" customHeight="1">
      <c r="A60" s="124" t="s">
        <v>89</v>
      </c>
      <c r="B60" s="144"/>
      <c r="C60" s="145"/>
      <c r="D60" s="146" t="s">
        <v>845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24" t="s">
        <v>91</v>
      </c>
      <c r="B61" s="144"/>
      <c r="C61" s="145"/>
      <c r="D61" s="146" t="s">
        <v>116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 ht="15" customHeight="1">
      <c r="A62" s="124" t="s">
        <v>93</v>
      </c>
      <c r="B62" s="144"/>
      <c r="C62" s="145"/>
      <c r="D62" s="146" t="s">
        <v>846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 ht="28.5" customHeight="1">
      <c r="A63" s="124" t="s">
        <v>95</v>
      </c>
      <c r="B63" s="144"/>
      <c r="C63" s="145"/>
      <c r="D63" s="146" t="s">
        <v>847</v>
      </c>
      <c r="E63" s="142"/>
      <c r="F63" s="142"/>
      <c r="G63" s="142"/>
      <c r="H63" s="142"/>
      <c r="I63" s="142"/>
      <c r="J63" s="142"/>
      <c r="K63" s="142"/>
      <c r="L63" s="142"/>
      <c r="M63" s="142"/>
      <c r="N63" s="143"/>
      <c r="O63" s="86"/>
    </row>
    <row r="64" spans="1:15" ht="15" customHeight="1">
      <c r="A64" s="124" t="s">
        <v>97</v>
      </c>
      <c r="B64" s="144"/>
      <c r="C64" s="145"/>
      <c r="D64" s="146" t="s">
        <v>848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3"/>
      <c r="O64" s="86"/>
    </row>
    <row r="65" spans="1:15" ht="15" customHeight="1">
      <c r="A65" s="125" t="s">
        <v>99</v>
      </c>
      <c r="B65" s="147"/>
      <c r="C65" s="126" t="s">
        <v>100</v>
      </c>
      <c r="D65" s="147"/>
      <c r="E65" s="127" t="s">
        <v>101</v>
      </c>
      <c r="F65" s="147"/>
      <c r="G65" s="127" t="s">
        <v>102</v>
      </c>
      <c r="H65" s="147"/>
      <c r="I65" s="127" t="s">
        <v>103</v>
      </c>
      <c r="J65" s="147"/>
      <c r="K65" s="127" t="s">
        <v>104</v>
      </c>
      <c r="L65" s="147"/>
      <c r="M65" s="65" t="s">
        <v>105</v>
      </c>
      <c r="N65" s="65" t="s">
        <v>106</v>
      </c>
      <c r="O65" s="86"/>
    </row>
    <row r="66" spans="1:15" ht="90.75" customHeight="1">
      <c r="A66" s="148" t="s">
        <v>2</v>
      </c>
      <c r="B66" s="149"/>
      <c r="C66" s="150" t="s">
        <v>849</v>
      </c>
      <c r="D66" s="149"/>
      <c r="E66" s="150" t="s">
        <v>109</v>
      </c>
      <c r="F66" s="149"/>
      <c r="G66" s="150" t="s">
        <v>259</v>
      </c>
      <c r="H66" s="149"/>
      <c r="I66" s="150" t="s">
        <v>850</v>
      </c>
      <c r="J66" s="149"/>
      <c r="K66" s="150" t="s">
        <v>851</v>
      </c>
      <c r="L66" s="149"/>
      <c r="M66" s="184"/>
      <c r="N66" s="184" t="s">
        <v>852</v>
      </c>
      <c r="O66" s="86"/>
    </row>
    <row r="67" spans="1:1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</row>
    <row r="68" spans="1:15" ht="15" customHeight="1">
      <c r="A68" s="109" t="s">
        <v>85</v>
      </c>
      <c r="B68" s="140"/>
      <c r="C68" s="140"/>
      <c r="D68" s="146" t="str">
        <f>$A$1</f>
        <v>Rendimiento</v>
      </c>
      <c r="E68" s="142"/>
      <c r="F68" s="142"/>
      <c r="G68" s="142"/>
      <c r="H68" s="142"/>
      <c r="I68" s="142"/>
      <c r="J68" s="142"/>
      <c r="K68" s="142"/>
      <c r="L68" s="142"/>
      <c r="M68" s="142"/>
      <c r="N68" s="143"/>
      <c r="O68" s="86"/>
    </row>
    <row r="69" spans="1:15">
      <c r="A69" s="109" t="s">
        <v>86</v>
      </c>
      <c r="B69" s="140"/>
      <c r="C69" s="140"/>
      <c r="D69" s="146" t="str">
        <f>Rendimiento!A5</f>
        <v>Se requiere que las consultas de resumen de horas de vuelo, alertas regulatorias y logbooks estén optimizadas con agregación SQL para reducir tiempos de espera.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15" customHeight="1">
      <c r="A70" s="124" t="s">
        <v>87</v>
      </c>
      <c r="B70" s="144"/>
      <c r="C70" s="145"/>
      <c r="D70" s="146" t="s">
        <v>853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24" t="s">
        <v>89</v>
      </c>
      <c r="B71" s="144"/>
      <c r="C71" s="145"/>
      <c r="D71" s="146" t="s">
        <v>854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24" t="s">
        <v>91</v>
      </c>
      <c r="B72" s="144"/>
      <c r="C72" s="145"/>
      <c r="D72" s="146" t="s">
        <v>92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24" t="s">
        <v>93</v>
      </c>
      <c r="B73" s="144"/>
      <c r="C73" s="145"/>
      <c r="D73" s="146" t="s">
        <v>855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 ht="27" customHeight="1">
      <c r="A74" s="124" t="s">
        <v>95</v>
      </c>
      <c r="B74" s="144"/>
      <c r="C74" s="145"/>
      <c r="D74" s="146" t="s">
        <v>856</v>
      </c>
      <c r="E74" s="142"/>
      <c r="F74" s="142"/>
      <c r="G74" s="142"/>
      <c r="H74" s="142"/>
      <c r="I74" s="142"/>
      <c r="J74" s="142"/>
      <c r="K74" s="142"/>
      <c r="L74" s="142"/>
      <c r="M74" s="142"/>
      <c r="N74" s="143"/>
      <c r="O74" s="86"/>
    </row>
    <row r="75" spans="1:15">
      <c r="A75" s="124" t="s">
        <v>97</v>
      </c>
      <c r="B75" s="144"/>
      <c r="C75" s="145"/>
      <c r="D75" s="146" t="s">
        <v>857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3"/>
      <c r="O75" s="86"/>
    </row>
    <row r="76" spans="1:15" ht="27.75" customHeight="1">
      <c r="A76" s="125" t="s">
        <v>99</v>
      </c>
      <c r="B76" s="147"/>
      <c r="C76" s="126" t="s">
        <v>100</v>
      </c>
      <c r="D76" s="147"/>
      <c r="E76" s="127" t="s">
        <v>101</v>
      </c>
      <c r="F76" s="147"/>
      <c r="G76" s="127" t="s">
        <v>102</v>
      </c>
      <c r="H76" s="147"/>
      <c r="I76" s="127" t="s">
        <v>103</v>
      </c>
      <c r="J76" s="147"/>
      <c r="K76" s="127" t="s">
        <v>104</v>
      </c>
      <c r="L76" s="147"/>
      <c r="M76" s="65" t="s">
        <v>105</v>
      </c>
      <c r="N76" s="65" t="s">
        <v>106</v>
      </c>
      <c r="O76" s="86"/>
    </row>
    <row r="77" spans="1:15" ht="72" customHeight="1">
      <c r="A77" s="148" t="s">
        <v>2</v>
      </c>
      <c r="B77" s="149"/>
      <c r="C77" s="150" t="s">
        <v>858</v>
      </c>
      <c r="D77" s="149"/>
      <c r="E77" s="150" t="s">
        <v>109</v>
      </c>
      <c r="F77" s="149"/>
      <c r="G77" s="150" t="s">
        <v>259</v>
      </c>
      <c r="H77" s="149"/>
      <c r="I77" s="150" t="s">
        <v>859</v>
      </c>
      <c r="J77" s="149"/>
      <c r="K77" s="150" t="s">
        <v>842</v>
      </c>
      <c r="L77" s="149"/>
      <c r="M77" s="184"/>
      <c r="N77" s="184" t="s">
        <v>860</v>
      </c>
      <c r="O77" s="86"/>
    </row>
    <row r="78" spans="1:15">
      <c r="A78" s="88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</row>
    <row r="79" spans="1:15" ht="15" customHeight="1">
      <c r="A79" s="112" t="s">
        <v>85</v>
      </c>
      <c r="B79" s="113"/>
      <c r="C79" s="114"/>
      <c r="D79" s="181" t="str">
        <f>$A$1</f>
        <v>Rendimiento</v>
      </c>
      <c r="E79" s="182"/>
      <c r="F79" s="182"/>
      <c r="G79" s="182"/>
      <c r="H79" s="182"/>
      <c r="I79" s="182"/>
      <c r="J79" s="182"/>
      <c r="K79" s="182"/>
      <c r="L79" s="182"/>
      <c r="M79" s="182"/>
      <c r="N79" s="183"/>
      <c r="O79" s="86"/>
    </row>
    <row r="80" spans="1:15" ht="15" customHeight="1">
      <c r="A80" s="109" t="s">
        <v>86</v>
      </c>
      <c r="B80" s="110"/>
      <c r="C80" s="111"/>
      <c r="D80" s="181" t="str">
        <f>Rendimiento!A5</f>
        <v>Se requiere que las consultas de resumen de horas de vuelo, alertas regulatorias y logbooks estén optimizadas con agregación SQL para reducir tiempos de espera.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3"/>
      <c r="O80" s="86"/>
    </row>
    <row r="81" spans="1:15" ht="15" customHeight="1">
      <c r="A81" s="121" t="s">
        <v>87</v>
      </c>
      <c r="B81" s="122"/>
      <c r="C81" s="123"/>
      <c r="D81" s="185" t="s">
        <v>861</v>
      </c>
      <c r="E81" s="182"/>
      <c r="F81" s="182"/>
      <c r="G81" s="182"/>
      <c r="H81" s="182"/>
      <c r="I81" s="182"/>
      <c r="J81" s="182"/>
      <c r="K81" s="182"/>
      <c r="L81" s="182"/>
      <c r="M81" s="182"/>
      <c r="N81" s="183"/>
      <c r="O81" s="86"/>
    </row>
    <row r="82" spans="1:15" ht="15" customHeight="1">
      <c r="A82" s="121" t="s">
        <v>89</v>
      </c>
      <c r="B82" s="122"/>
      <c r="C82" s="123"/>
      <c r="D82" s="185" t="s">
        <v>862</v>
      </c>
      <c r="E82" s="182"/>
      <c r="F82" s="182"/>
      <c r="G82" s="182"/>
      <c r="H82" s="182"/>
      <c r="I82" s="182"/>
      <c r="J82" s="182"/>
      <c r="K82" s="182"/>
      <c r="L82" s="182"/>
      <c r="M82" s="182"/>
      <c r="N82" s="183"/>
      <c r="O82" s="86"/>
    </row>
    <row r="83" spans="1:15" ht="15" customHeight="1">
      <c r="A83" s="121" t="s">
        <v>91</v>
      </c>
      <c r="B83" s="122"/>
      <c r="C83" s="123"/>
      <c r="D83" s="185" t="s">
        <v>116</v>
      </c>
      <c r="E83" s="182"/>
      <c r="F83" s="182"/>
      <c r="G83" s="182"/>
      <c r="H83" s="182"/>
      <c r="I83" s="182"/>
      <c r="J83" s="182"/>
      <c r="K83" s="182"/>
      <c r="L83" s="182"/>
      <c r="M83" s="182"/>
      <c r="N83" s="183"/>
      <c r="O83" s="86"/>
    </row>
    <row r="84" spans="1:15" ht="15" customHeight="1">
      <c r="A84" s="121" t="s">
        <v>93</v>
      </c>
      <c r="B84" s="122"/>
      <c r="C84" s="123"/>
      <c r="D84" s="185" t="s">
        <v>863</v>
      </c>
      <c r="E84" s="182"/>
      <c r="F84" s="182"/>
      <c r="G84" s="182"/>
      <c r="H84" s="182"/>
      <c r="I84" s="182"/>
      <c r="J84" s="182"/>
      <c r="K84" s="182"/>
      <c r="L84" s="182"/>
      <c r="M84" s="182"/>
      <c r="N84" s="183"/>
      <c r="O84" s="86"/>
    </row>
    <row r="85" spans="1:15" ht="30" customHeight="1">
      <c r="A85" s="121" t="s">
        <v>95</v>
      </c>
      <c r="B85" s="122"/>
      <c r="C85" s="123"/>
      <c r="D85" s="185" t="s">
        <v>864</v>
      </c>
      <c r="E85" s="182"/>
      <c r="F85" s="182"/>
      <c r="G85" s="182"/>
      <c r="H85" s="182"/>
      <c r="I85" s="182"/>
      <c r="J85" s="182"/>
      <c r="K85" s="182"/>
      <c r="L85" s="182"/>
      <c r="M85" s="182"/>
      <c r="N85" s="183"/>
      <c r="O85" s="86"/>
    </row>
    <row r="86" spans="1:15" ht="22.5" customHeight="1">
      <c r="A86" s="132" t="s">
        <v>97</v>
      </c>
      <c r="B86" s="133"/>
      <c r="C86" s="134"/>
      <c r="D86" s="186" t="s">
        <v>865</v>
      </c>
      <c r="E86" s="187"/>
      <c r="F86" s="187"/>
      <c r="G86" s="187"/>
      <c r="H86" s="187"/>
      <c r="I86" s="182"/>
      <c r="J86" s="182"/>
      <c r="K86" s="182"/>
      <c r="L86" s="182"/>
      <c r="M86" s="182"/>
      <c r="N86" s="183"/>
      <c r="O86" s="86"/>
    </row>
    <row r="87" spans="1:15" ht="30" customHeight="1">
      <c r="A87" s="129" t="s">
        <v>99</v>
      </c>
      <c r="B87" s="116"/>
      <c r="C87" s="115" t="s">
        <v>100</v>
      </c>
      <c r="D87" s="116"/>
      <c r="E87" s="115" t="s">
        <v>101</v>
      </c>
      <c r="F87" s="116"/>
      <c r="G87" s="115" t="s">
        <v>102</v>
      </c>
      <c r="H87" s="130"/>
      <c r="I87" s="131" t="s">
        <v>103</v>
      </c>
      <c r="J87" s="116"/>
      <c r="K87" s="115" t="s">
        <v>104</v>
      </c>
      <c r="L87" s="116"/>
      <c r="M87" s="65" t="s">
        <v>105</v>
      </c>
      <c r="N87" s="65" t="s">
        <v>106</v>
      </c>
      <c r="O87" s="86"/>
    </row>
    <row r="88" spans="1:15" ht="88.5" customHeight="1">
      <c r="A88" s="188" t="s">
        <v>2</v>
      </c>
      <c r="B88" s="189"/>
      <c r="C88" s="158" t="s">
        <v>866</v>
      </c>
      <c r="D88" s="189"/>
      <c r="E88" s="158" t="s">
        <v>109</v>
      </c>
      <c r="F88" s="189"/>
      <c r="G88" s="158" t="s">
        <v>259</v>
      </c>
      <c r="H88" s="190"/>
      <c r="I88" s="191" t="s">
        <v>867</v>
      </c>
      <c r="J88" s="189"/>
      <c r="K88" s="158" t="s">
        <v>868</v>
      </c>
      <c r="L88" s="189"/>
      <c r="M88" s="184"/>
      <c r="N88" s="184" t="s">
        <v>869</v>
      </c>
      <c r="O88" s="86"/>
    </row>
    <row r="89" spans="1:1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</row>
    <row r="90" spans="1:15">
      <c r="A90" s="109" t="s">
        <v>85</v>
      </c>
      <c r="B90" s="140"/>
      <c r="C90" s="140"/>
      <c r="D90" s="146" t="str">
        <f>$A$1</f>
        <v>Rendimiento</v>
      </c>
      <c r="E90" s="142"/>
      <c r="F90" s="142"/>
      <c r="G90" s="142"/>
      <c r="H90" s="142"/>
      <c r="I90" s="142"/>
      <c r="J90" s="142"/>
      <c r="K90" s="142"/>
      <c r="L90" s="142"/>
      <c r="M90" s="142"/>
      <c r="N90" s="143"/>
      <c r="O90" s="86"/>
    </row>
    <row r="91" spans="1:15">
      <c r="A91" s="109" t="s">
        <v>86</v>
      </c>
      <c r="B91" s="140"/>
      <c r="C91" s="140"/>
      <c r="D91" s="146" t="str">
        <f>Rendimiento!A6</f>
        <v>Se requiere que las métricas de rendimiento del servidor sean recolectadas mediante Prometheus sin afectar la experiencia del usuario con la aplicación.</v>
      </c>
      <c r="E91" s="142"/>
      <c r="F91" s="142"/>
      <c r="G91" s="142"/>
      <c r="H91" s="142"/>
      <c r="I91" s="142"/>
      <c r="J91" s="142"/>
      <c r="K91" s="142"/>
      <c r="L91" s="142"/>
      <c r="M91" s="142"/>
      <c r="N91" s="143"/>
      <c r="O91" s="86"/>
    </row>
    <row r="92" spans="1:15">
      <c r="A92" s="124" t="s">
        <v>87</v>
      </c>
      <c r="B92" s="144"/>
      <c r="C92" s="145"/>
      <c r="D92" s="146" t="s">
        <v>870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24" t="s">
        <v>89</v>
      </c>
      <c r="B93" s="144"/>
      <c r="C93" s="145"/>
      <c r="D93" s="146" t="s">
        <v>461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>
      <c r="A94" s="124" t="s">
        <v>91</v>
      </c>
      <c r="B94" s="144"/>
      <c r="C94" s="145"/>
      <c r="D94" s="146" t="s">
        <v>92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124" t="s">
        <v>93</v>
      </c>
      <c r="B95" s="144"/>
      <c r="C95" s="145"/>
      <c r="D95" s="146" t="s">
        <v>871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>
      <c r="A96" s="124" t="s">
        <v>95</v>
      </c>
      <c r="B96" s="144"/>
      <c r="C96" s="145"/>
      <c r="D96" s="146" t="s">
        <v>872</v>
      </c>
      <c r="E96" s="142"/>
      <c r="F96" s="142"/>
      <c r="G96" s="142"/>
      <c r="H96" s="142"/>
      <c r="I96" s="142"/>
      <c r="J96" s="142"/>
      <c r="K96" s="142"/>
      <c r="L96" s="142"/>
      <c r="M96" s="142"/>
      <c r="N96" s="143"/>
      <c r="O96" s="139"/>
    </row>
    <row r="97" spans="1:15">
      <c r="A97" s="124" t="s">
        <v>97</v>
      </c>
      <c r="B97" s="144"/>
      <c r="C97" s="145"/>
      <c r="D97" s="146" t="s">
        <v>873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3"/>
      <c r="O97" s="139"/>
    </row>
    <row r="98" spans="1:15">
      <c r="A98" s="125" t="s">
        <v>99</v>
      </c>
      <c r="B98" s="147"/>
      <c r="C98" s="126" t="s">
        <v>100</v>
      </c>
      <c r="D98" s="147"/>
      <c r="E98" s="127" t="s">
        <v>101</v>
      </c>
      <c r="F98" s="147"/>
      <c r="G98" s="127" t="s">
        <v>102</v>
      </c>
      <c r="H98" s="147"/>
      <c r="I98" s="127" t="s">
        <v>103</v>
      </c>
      <c r="J98" s="147"/>
      <c r="K98" s="127" t="s">
        <v>104</v>
      </c>
      <c r="L98" s="147"/>
      <c r="M98" s="65" t="s">
        <v>105</v>
      </c>
      <c r="N98" s="65" t="s">
        <v>106</v>
      </c>
      <c r="O98" s="139"/>
    </row>
    <row r="99" spans="1:15" ht="59.25" customHeight="1">
      <c r="A99" s="148" t="s">
        <v>193</v>
      </c>
      <c r="B99" s="149"/>
      <c r="C99" s="150" t="s">
        <v>465</v>
      </c>
      <c r="D99" s="149"/>
      <c r="E99" s="150" t="s">
        <v>109</v>
      </c>
      <c r="F99" s="149"/>
      <c r="G99" s="150" t="s">
        <v>259</v>
      </c>
      <c r="H99" s="149"/>
      <c r="I99" s="150" t="s">
        <v>874</v>
      </c>
      <c r="J99" s="149"/>
      <c r="K99" s="150" t="s">
        <v>467</v>
      </c>
      <c r="L99" s="149"/>
      <c r="M99" s="184"/>
      <c r="N99" s="184" t="s">
        <v>468</v>
      </c>
      <c r="O99" s="139"/>
    </row>
    <row r="100" spans="1:15">
      <c r="A100" s="88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139"/>
    </row>
    <row r="101" spans="1:15">
      <c r="A101" s="112" t="s">
        <v>85</v>
      </c>
      <c r="B101" s="113"/>
      <c r="C101" s="114"/>
      <c r="D101" s="181" t="str">
        <f>$A$1</f>
        <v>Rendimiento</v>
      </c>
      <c r="E101" s="182"/>
      <c r="F101" s="182"/>
      <c r="G101" s="182"/>
      <c r="H101" s="182"/>
      <c r="I101" s="182"/>
      <c r="J101" s="182"/>
      <c r="K101" s="182"/>
      <c r="L101" s="182"/>
      <c r="M101" s="182"/>
      <c r="N101" s="183"/>
      <c r="O101" s="139"/>
    </row>
    <row r="102" spans="1:15">
      <c r="A102" s="109" t="s">
        <v>86</v>
      </c>
      <c r="B102" s="110"/>
      <c r="C102" s="111"/>
      <c r="D102" s="181" t="str">
        <f>Rendimiento!A6</f>
        <v>Se requiere que las métricas de rendimiento del servidor sean recolectadas mediante Prometheus sin afectar la experiencia del usuario con la aplicación.</v>
      </c>
      <c r="E102" s="182"/>
      <c r="F102" s="182"/>
      <c r="G102" s="182"/>
      <c r="H102" s="182"/>
      <c r="I102" s="182"/>
      <c r="J102" s="182"/>
      <c r="K102" s="182"/>
      <c r="L102" s="182"/>
      <c r="M102" s="182"/>
      <c r="N102" s="183"/>
      <c r="O102" s="139"/>
    </row>
    <row r="103" spans="1:15">
      <c r="A103" s="121" t="s">
        <v>87</v>
      </c>
      <c r="B103" s="122"/>
      <c r="C103" s="123"/>
      <c r="D103" s="185" t="s">
        <v>875</v>
      </c>
      <c r="E103" s="182"/>
      <c r="F103" s="182"/>
      <c r="G103" s="182"/>
      <c r="H103" s="182"/>
      <c r="I103" s="182"/>
      <c r="J103" s="182"/>
      <c r="K103" s="182"/>
      <c r="L103" s="182"/>
      <c r="M103" s="182"/>
      <c r="N103" s="183"/>
      <c r="O103" s="139"/>
    </row>
    <row r="104" spans="1:15">
      <c r="A104" s="121" t="s">
        <v>89</v>
      </c>
      <c r="B104" s="122"/>
      <c r="C104" s="123"/>
      <c r="D104" s="185" t="s">
        <v>876</v>
      </c>
      <c r="E104" s="182"/>
      <c r="F104" s="182"/>
      <c r="G104" s="182"/>
      <c r="H104" s="182"/>
      <c r="I104" s="182"/>
      <c r="J104" s="182"/>
      <c r="K104" s="182"/>
      <c r="L104" s="182"/>
      <c r="M104" s="182"/>
      <c r="N104" s="183"/>
      <c r="O104" s="139"/>
    </row>
    <row r="105" spans="1:15">
      <c r="A105" s="121" t="s">
        <v>91</v>
      </c>
      <c r="B105" s="122"/>
      <c r="C105" s="123"/>
      <c r="D105" s="185" t="s">
        <v>116</v>
      </c>
      <c r="E105" s="182"/>
      <c r="F105" s="182"/>
      <c r="G105" s="182"/>
      <c r="H105" s="182"/>
      <c r="I105" s="182"/>
      <c r="J105" s="182"/>
      <c r="K105" s="182"/>
      <c r="L105" s="182"/>
      <c r="M105" s="182"/>
      <c r="N105" s="183"/>
      <c r="O105" s="139"/>
    </row>
    <row r="106" spans="1:15">
      <c r="A106" s="121" t="s">
        <v>93</v>
      </c>
      <c r="B106" s="122"/>
      <c r="C106" s="123"/>
      <c r="D106" s="185" t="s">
        <v>877</v>
      </c>
      <c r="E106" s="182"/>
      <c r="F106" s="182"/>
      <c r="G106" s="182"/>
      <c r="H106" s="182"/>
      <c r="I106" s="182"/>
      <c r="J106" s="182"/>
      <c r="K106" s="182"/>
      <c r="L106" s="182"/>
      <c r="M106" s="182"/>
      <c r="N106" s="183"/>
      <c r="O106" s="139"/>
    </row>
    <row r="107" spans="1:15">
      <c r="A107" s="121" t="s">
        <v>95</v>
      </c>
      <c r="B107" s="122"/>
      <c r="C107" s="123"/>
      <c r="D107" s="185" t="s">
        <v>878</v>
      </c>
      <c r="E107" s="182"/>
      <c r="F107" s="182"/>
      <c r="G107" s="182"/>
      <c r="H107" s="182"/>
      <c r="I107" s="182"/>
      <c r="J107" s="182"/>
      <c r="K107" s="182"/>
      <c r="L107" s="182"/>
      <c r="M107" s="182"/>
      <c r="N107" s="183"/>
      <c r="O107" s="139"/>
    </row>
    <row r="108" spans="1:15">
      <c r="A108" s="121" t="s">
        <v>97</v>
      </c>
      <c r="B108" s="122"/>
      <c r="C108" s="123"/>
      <c r="D108" s="185" t="s">
        <v>879</v>
      </c>
      <c r="E108" s="182"/>
      <c r="F108" s="182"/>
      <c r="G108" s="182"/>
      <c r="H108" s="182"/>
      <c r="I108" s="182"/>
      <c r="J108" s="182"/>
      <c r="K108" s="182"/>
      <c r="L108" s="182"/>
      <c r="M108" s="182"/>
      <c r="N108" s="183"/>
      <c r="O108" s="139"/>
    </row>
    <row r="109" spans="1:15">
      <c r="A109" s="117" t="s">
        <v>99</v>
      </c>
      <c r="B109" s="118"/>
      <c r="C109" s="119" t="s">
        <v>100</v>
      </c>
      <c r="D109" s="120"/>
      <c r="E109" s="115" t="s">
        <v>101</v>
      </c>
      <c r="F109" s="116"/>
      <c r="G109" s="115" t="s">
        <v>102</v>
      </c>
      <c r="H109" s="116"/>
      <c r="I109" s="115" t="s">
        <v>103</v>
      </c>
      <c r="J109" s="116"/>
      <c r="K109" s="115" t="s">
        <v>104</v>
      </c>
      <c r="L109" s="116"/>
      <c r="M109" s="65" t="s">
        <v>105</v>
      </c>
      <c r="N109" s="65" t="s">
        <v>106</v>
      </c>
      <c r="O109" s="139"/>
    </row>
    <row r="110" spans="1:15" ht="48" customHeight="1">
      <c r="A110" s="156" t="s">
        <v>193</v>
      </c>
      <c r="B110" s="189"/>
      <c r="C110" s="158" t="s">
        <v>880</v>
      </c>
      <c r="D110" s="189"/>
      <c r="E110" s="158" t="s">
        <v>109</v>
      </c>
      <c r="F110" s="189"/>
      <c r="G110" s="158" t="s">
        <v>259</v>
      </c>
      <c r="H110" s="189"/>
      <c r="I110" s="158" t="s">
        <v>881</v>
      </c>
      <c r="J110" s="189"/>
      <c r="K110" s="158" t="s">
        <v>882</v>
      </c>
      <c r="L110" s="189"/>
      <c r="M110" s="184"/>
      <c r="N110" s="184" t="s">
        <v>883</v>
      </c>
      <c r="O110" s="139"/>
    </row>
    <row r="111" spans="1:15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</row>
    <row r="112" spans="1:15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</row>
    <row r="113" spans="1:15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</row>
    <row r="114" spans="1:15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</row>
    <row r="115" spans="1:15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</row>
    <row r="116" spans="1:15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</row>
  </sheetData>
  <mergeCells count="280">
    <mergeCell ref="A22:B22"/>
    <mergeCell ref="D17:N17"/>
    <mergeCell ref="A6:C6"/>
    <mergeCell ref="G22:H22"/>
    <mergeCell ref="E22:F22"/>
    <mergeCell ref="A11:B11"/>
    <mergeCell ref="D19:N19"/>
    <mergeCell ref="A18:C18"/>
    <mergeCell ref="I11:J11"/>
    <mergeCell ref="K22:L22"/>
    <mergeCell ref="I22:J22"/>
    <mergeCell ref="A19:C19"/>
    <mergeCell ref="D16:N16"/>
    <mergeCell ref="C11:D11"/>
    <mergeCell ref="E11:F11"/>
    <mergeCell ref="G21:H21"/>
    <mergeCell ref="E21:F21"/>
    <mergeCell ref="A14:C14"/>
    <mergeCell ref="A5:C5"/>
    <mergeCell ref="D13:N13"/>
    <mergeCell ref="A4:C4"/>
    <mergeCell ref="A13:C13"/>
    <mergeCell ref="A15:C15"/>
    <mergeCell ref="D9:N9"/>
    <mergeCell ref="I10:J10"/>
    <mergeCell ref="K10:L10"/>
    <mergeCell ref="A10:B10"/>
    <mergeCell ref="A7:C7"/>
    <mergeCell ref="A16:C16"/>
    <mergeCell ref="G11:H11"/>
    <mergeCell ref="D4:N4"/>
    <mergeCell ref="D20:N20"/>
    <mergeCell ref="A9:C9"/>
    <mergeCell ref="D18:N18"/>
    <mergeCell ref="D8:N8"/>
    <mergeCell ref="A2:C2"/>
    <mergeCell ref="K11:L11"/>
    <mergeCell ref="D6:N6"/>
    <mergeCell ref="D15:N15"/>
    <mergeCell ref="D7:N7"/>
    <mergeCell ref="C22:D22"/>
    <mergeCell ref="D2:N2"/>
    <mergeCell ref="A20:C20"/>
    <mergeCell ref="I21:J21"/>
    <mergeCell ref="C21:D21"/>
    <mergeCell ref="A21:B21"/>
    <mergeCell ref="D3:N3"/>
    <mergeCell ref="D5:N5"/>
    <mergeCell ref="D14:N14"/>
    <mergeCell ref="C10:D10"/>
    <mergeCell ref="E10:F10"/>
    <mergeCell ref="G10:H10"/>
    <mergeCell ref="A8:C8"/>
    <mergeCell ref="A17:C17"/>
    <mergeCell ref="A3:C3"/>
    <mergeCell ref="K21:L21"/>
    <mergeCell ref="A27:C27"/>
    <mergeCell ref="D27:N27"/>
    <mergeCell ref="A28:C28"/>
    <mergeCell ref="D28:N28"/>
    <mergeCell ref="A29:C29"/>
    <mergeCell ref="D29:N29"/>
    <mergeCell ref="A24:C24"/>
    <mergeCell ref="D24:N24"/>
    <mergeCell ref="A25:C25"/>
    <mergeCell ref="D25:N25"/>
    <mergeCell ref="A26:C26"/>
    <mergeCell ref="D26:N26"/>
    <mergeCell ref="A30:C30"/>
    <mergeCell ref="D30:N30"/>
    <mergeCell ref="A31:C31"/>
    <mergeCell ref="D31:N31"/>
    <mergeCell ref="A32:B32"/>
    <mergeCell ref="C32:D32"/>
    <mergeCell ref="E32:F32"/>
    <mergeCell ref="G32:H32"/>
    <mergeCell ref="I32:J32"/>
    <mergeCell ref="K32:L32"/>
    <mergeCell ref="K33:L33"/>
    <mergeCell ref="A35:C35"/>
    <mergeCell ref="D35:N35"/>
    <mergeCell ref="A36:C36"/>
    <mergeCell ref="D36:N36"/>
    <mergeCell ref="A33:B33"/>
    <mergeCell ref="C33:D33"/>
    <mergeCell ref="E33:F33"/>
    <mergeCell ref="G33:H33"/>
    <mergeCell ref="I33:J33"/>
    <mergeCell ref="A40:C40"/>
    <mergeCell ref="D40:N40"/>
    <mergeCell ref="A41:C41"/>
    <mergeCell ref="D41:N41"/>
    <mergeCell ref="A42:C42"/>
    <mergeCell ref="D42:N42"/>
    <mergeCell ref="A37:C37"/>
    <mergeCell ref="D37:N37"/>
    <mergeCell ref="A38:C38"/>
    <mergeCell ref="D38:N38"/>
    <mergeCell ref="A39:C39"/>
    <mergeCell ref="D39:N39"/>
    <mergeCell ref="K43:L43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A49:C49"/>
    <mergeCell ref="D49:N49"/>
    <mergeCell ref="A50:C50"/>
    <mergeCell ref="D50:N50"/>
    <mergeCell ref="A51:C51"/>
    <mergeCell ref="D51:N51"/>
    <mergeCell ref="A46:C46"/>
    <mergeCell ref="D46:N46"/>
    <mergeCell ref="A47:C47"/>
    <mergeCell ref="D47:N47"/>
    <mergeCell ref="A48:C48"/>
    <mergeCell ref="D48:N48"/>
    <mergeCell ref="A52:C52"/>
    <mergeCell ref="D52:N52"/>
    <mergeCell ref="A53:C53"/>
    <mergeCell ref="D53:N53"/>
    <mergeCell ref="A54:B54"/>
    <mergeCell ref="C54:D54"/>
    <mergeCell ref="E54:F54"/>
    <mergeCell ref="G54:H54"/>
    <mergeCell ref="I54:J54"/>
    <mergeCell ref="K54:L54"/>
    <mergeCell ref="K55:L55"/>
    <mergeCell ref="A57:C57"/>
    <mergeCell ref="D57:N57"/>
    <mergeCell ref="A58:C58"/>
    <mergeCell ref="D58:N58"/>
    <mergeCell ref="A55:B55"/>
    <mergeCell ref="C55:D55"/>
    <mergeCell ref="E55:F55"/>
    <mergeCell ref="G55:H55"/>
    <mergeCell ref="I55:J55"/>
    <mergeCell ref="A62:C62"/>
    <mergeCell ref="D62:N62"/>
    <mergeCell ref="A63:C63"/>
    <mergeCell ref="D63:N63"/>
    <mergeCell ref="A64:C64"/>
    <mergeCell ref="D64:N64"/>
    <mergeCell ref="A59:C59"/>
    <mergeCell ref="D59:N59"/>
    <mergeCell ref="A60:C60"/>
    <mergeCell ref="D60:N60"/>
    <mergeCell ref="A61:C61"/>
    <mergeCell ref="D61:N61"/>
    <mergeCell ref="K65:L65"/>
    <mergeCell ref="A66:B66"/>
    <mergeCell ref="C66:D66"/>
    <mergeCell ref="E66:F66"/>
    <mergeCell ref="G66:H66"/>
    <mergeCell ref="I66:J66"/>
    <mergeCell ref="K66:L66"/>
    <mergeCell ref="A65:B65"/>
    <mergeCell ref="C65:D65"/>
    <mergeCell ref="E65:F65"/>
    <mergeCell ref="G65:H65"/>
    <mergeCell ref="I65:J65"/>
    <mergeCell ref="A71:C71"/>
    <mergeCell ref="D71:N71"/>
    <mergeCell ref="A72:C72"/>
    <mergeCell ref="D72:N72"/>
    <mergeCell ref="A73:C73"/>
    <mergeCell ref="D73:N73"/>
    <mergeCell ref="A68:C68"/>
    <mergeCell ref="D68:N68"/>
    <mergeCell ref="A69:C69"/>
    <mergeCell ref="D69:N69"/>
    <mergeCell ref="A70:C70"/>
    <mergeCell ref="D70:N70"/>
    <mergeCell ref="K77:L77"/>
    <mergeCell ref="A77:B77"/>
    <mergeCell ref="C77:D77"/>
    <mergeCell ref="E77:F77"/>
    <mergeCell ref="G77:H77"/>
    <mergeCell ref="I77:J77"/>
    <mergeCell ref="A74:C74"/>
    <mergeCell ref="D74:N74"/>
    <mergeCell ref="A75:C75"/>
    <mergeCell ref="D75:N75"/>
    <mergeCell ref="A76:B76"/>
    <mergeCell ref="C76:D76"/>
    <mergeCell ref="E76:F76"/>
    <mergeCell ref="G76:H76"/>
    <mergeCell ref="I76:J76"/>
    <mergeCell ref="K76:L76"/>
    <mergeCell ref="A84:C84"/>
    <mergeCell ref="D84:N84"/>
    <mergeCell ref="A85:C85"/>
    <mergeCell ref="D85:N85"/>
    <mergeCell ref="A86:C86"/>
    <mergeCell ref="D86:N86"/>
    <mergeCell ref="A81:C81"/>
    <mergeCell ref="D81:N81"/>
    <mergeCell ref="A82:C82"/>
    <mergeCell ref="D82:N82"/>
    <mergeCell ref="A83:C83"/>
    <mergeCell ref="D83:N83"/>
    <mergeCell ref="K87:L87"/>
    <mergeCell ref="A88:B88"/>
    <mergeCell ref="C88:D88"/>
    <mergeCell ref="E88:F88"/>
    <mergeCell ref="G88:H88"/>
    <mergeCell ref="I88:J88"/>
    <mergeCell ref="K88:L88"/>
    <mergeCell ref="A87:B87"/>
    <mergeCell ref="C87:D87"/>
    <mergeCell ref="E87:F87"/>
    <mergeCell ref="G87:H87"/>
    <mergeCell ref="I87:J87"/>
    <mergeCell ref="A93:C93"/>
    <mergeCell ref="D93:N93"/>
    <mergeCell ref="A94:C94"/>
    <mergeCell ref="D94:N94"/>
    <mergeCell ref="A95:C95"/>
    <mergeCell ref="D95:N95"/>
    <mergeCell ref="A90:C90"/>
    <mergeCell ref="D90:N90"/>
    <mergeCell ref="A91:C91"/>
    <mergeCell ref="D91:N91"/>
    <mergeCell ref="A92:C92"/>
    <mergeCell ref="D92:N92"/>
    <mergeCell ref="A96:C96"/>
    <mergeCell ref="D96:N96"/>
    <mergeCell ref="A97:C97"/>
    <mergeCell ref="D97:N97"/>
    <mergeCell ref="A98:B98"/>
    <mergeCell ref="C98:D98"/>
    <mergeCell ref="E98:F98"/>
    <mergeCell ref="G98:H98"/>
    <mergeCell ref="I98:J98"/>
    <mergeCell ref="K98:L98"/>
    <mergeCell ref="A104:C104"/>
    <mergeCell ref="D104:N104"/>
    <mergeCell ref="A105:C105"/>
    <mergeCell ref="D105:N105"/>
    <mergeCell ref="K99:L99"/>
    <mergeCell ref="A101:C101"/>
    <mergeCell ref="D101:N101"/>
    <mergeCell ref="A102:C102"/>
    <mergeCell ref="D102:N102"/>
    <mergeCell ref="A99:B99"/>
    <mergeCell ref="C99:D99"/>
    <mergeCell ref="E99:F99"/>
    <mergeCell ref="G99:H99"/>
    <mergeCell ref="I99:J99"/>
    <mergeCell ref="D80:N80"/>
    <mergeCell ref="A80:C80"/>
    <mergeCell ref="D79:N79"/>
    <mergeCell ref="A79:C79"/>
    <mergeCell ref="K109:L109"/>
    <mergeCell ref="A110:B110"/>
    <mergeCell ref="C110:D110"/>
    <mergeCell ref="E110:F110"/>
    <mergeCell ref="G110:H110"/>
    <mergeCell ref="I110:J110"/>
    <mergeCell ref="K110:L110"/>
    <mergeCell ref="A109:B109"/>
    <mergeCell ref="C109:D109"/>
    <mergeCell ref="E109:F109"/>
    <mergeCell ref="G109:H109"/>
    <mergeCell ref="I109:J109"/>
    <mergeCell ref="A106:C106"/>
    <mergeCell ref="D106:N106"/>
    <mergeCell ref="A107:C107"/>
    <mergeCell ref="D107:N107"/>
    <mergeCell ref="A108:C108"/>
    <mergeCell ref="D108:N108"/>
    <mergeCell ref="A103:C103"/>
    <mergeCell ref="D103:N103"/>
  </mergeCells>
  <hyperlinks>
    <hyperlink ref="A1" location="'Rendimiento'!A1" display="Rendimiento" xr:uid="{00000000-0004-0000-18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2">
    <tabColor theme="9" tint="0.59999389629810485"/>
    <pageSetUpPr fitToPage="1"/>
  </sheetPr>
  <dimension ref="A1:O261"/>
  <sheetViews>
    <sheetView topLeftCell="I122" zoomScale="87" zoomScaleNormal="87" workbookViewId="0">
      <selection activeCell="N133" sqref="N133"/>
    </sheetView>
  </sheetViews>
  <sheetFormatPr defaultColWidth="11.42578125" defaultRowHeight="15"/>
  <cols>
    <col min="1" max="3" width="11.42578125" style="59" customWidth="1"/>
    <col min="4" max="4" width="19" style="59" bestFit="1" customWidth="1"/>
    <col min="5" max="7" width="11.42578125" style="59" customWidth="1"/>
    <col min="8" max="8" width="14.5703125" style="59" customWidth="1"/>
    <col min="9" max="9" width="11.42578125" style="59" customWidth="1"/>
    <col min="10" max="10" width="52.28515625" style="59" customWidth="1"/>
    <col min="11" max="11" width="23.85546875" style="59" customWidth="1"/>
    <col min="12" max="12" width="22.5703125" style="59" customWidth="1"/>
    <col min="13" max="13" width="11.42578125" style="59" customWidth="1"/>
    <col min="14" max="14" width="96.7109375" style="59" customWidth="1"/>
    <col min="15" max="15" width="11.42578125" style="59" customWidth="1"/>
    <col min="16" max="16384" width="11.42578125" style="59"/>
  </cols>
  <sheetData>
    <row r="1" spans="1:15">
      <c r="A1" s="58" t="s">
        <v>11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>
      <c r="A2" s="5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06" t="s">
        <v>85</v>
      </c>
      <c r="B3" s="160"/>
      <c r="C3" s="161"/>
      <c r="D3" s="141" t="str">
        <f>$A$1</f>
        <v>Seguridad</v>
      </c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86"/>
    </row>
    <row r="4" spans="1:15">
      <c r="A4" s="107" t="s">
        <v>86</v>
      </c>
      <c r="B4" s="140"/>
      <c r="C4" s="163"/>
      <c r="D4" s="141" t="str">
        <f>Seguridad!A2</f>
        <v>Se requiere que los usuarios puedan autenticarse mediante un nombre de usuario y una contraseña válidos, permitiendo el acceso a la aplicación solo a personas autorizadas.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86"/>
    </row>
    <row r="5" spans="1:15">
      <c r="A5" s="104" t="s">
        <v>87</v>
      </c>
      <c r="B5" s="144"/>
      <c r="C5" s="166"/>
      <c r="D5" s="141" t="s">
        <v>884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86"/>
    </row>
    <row r="6" spans="1:15">
      <c r="A6" s="104" t="s">
        <v>89</v>
      </c>
      <c r="B6" s="144"/>
      <c r="C6" s="166"/>
      <c r="D6" s="141" t="s">
        <v>885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86"/>
    </row>
    <row r="7" spans="1:15" ht="15" customHeight="1">
      <c r="A7" s="104" t="s">
        <v>91</v>
      </c>
      <c r="B7" s="144"/>
      <c r="C7" s="166"/>
      <c r="D7" s="141" t="s">
        <v>92</v>
      </c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86"/>
    </row>
    <row r="8" spans="1:15" ht="15" customHeight="1">
      <c r="A8" s="104" t="s">
        <v>93</v>
      </c>
      <c r="B8" s="144"/>
      <c r="C8" s="166"/>
      <c r="D8" s="141" t="s">
        <v>886</v>
      </c>
      <c r="E8" s="142"/>
      <c r="F8" s="142"/>
      <c r="G8" s="142"/>
      <c r="H8" s="142"/>
      <c r="I8" s="142"/>
      <c r="J8" s="142"/>
      <c r="K8" s="142"/>
      <c r="L8" s="142"/>
      <c r="M8" s="142"/>
      <c r="N8" s="143"/>
      <c r="O8" s="86"/>
    </row>
    <row r="9" spans="1:15" ht="29.25" customHeight="1">
      <c r="A9" s="105" t="s">
        <v>95</v>
      </c>
      <c r="B9" s="167"/>
      <c r="C9" s="168"/>
      <c r="D9" s="169" t="s">
        <v>887</v>
      </c>
      <c r="E9" s="170"/>
      <c r="F9" s="170"/>
      <c r="G9" s="170"/>
      <c r="H9" s="170"/>
      <c r="I9" s="170"/>
      <c r="J9" s="170"/>
      <c r="K9" s="170"/>
      <c r="L9" s="170"/>
      <c r="M9" s="170"/>
      <c r="N9" s="171"/>
      <c r="O9" s="86"/>
    </row>
    <row r="10" spans="1:15" ht="35.25" customHeight="1">
      <c r="A10" s="102" t="s">
        <v>97</v>
      </c>
      <c r="B10" s="142"/>
      <c r="C10" s="143"/>
      <c r="D10" s="146" t="s">
        <v>888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3"/>
      <c r="O10" s="86"/>
    </row>
    <row r="11" spans="1:15" ht="15" customHeight="1">
      <c r="A11" s="103" t="s">
        <v>99</v>
      </c>
      <c r="B11" s="147"/>
      <c r="C11" s="103" t="s">
        <v>100</v>
      </c>
      <c r="D11" s="147"/>
      <c r="E11" s="103" t="s">
        <v>101</v>
      </c>
      <c r="F11" s="147"/>
      <c r="G11" s="103" t="s">
        <v>102</v>
      </c>
      <c r="H11" s="147"/>
      <c r="I11" s="103" t="s">
        <v>103</v>
      </c>
      <c r="J11" s="147"/>
      <c r="K11" s="103" t="s">
        <v>104</v>
      </c>
      <c r="L11" s="147"/>
      <c r="M11" s="61" t="s">
        <v>105</v>
      </c>
      <c r="N11" s="61" t="s">
        <v>106</v>
      </c>
      <c r="O11" s="86"/>
    </row>
    <row r="12" spans="1:15" ht="86.25" customHeight="1">
      <c r="A12" s="192" t="s">
        <v>2</v>
      </c>
      <c r="B12" s="149"/>
      <c r="C12" s="193" t="s">
        <v>889</v>
      </c>
      <c r="D12" s="149"/>
      <c r="E12" s="194" t="s">
        <v>109</v>
      </c>
      <c r="F12" s="149"/>
      <c r="G12" s="194" t="s">
        <v>193</v>
      </c>
      <c r="H12" s="149"/>
      <c r="I12" s="193" t="s">
        <v>890</v>
      </c>
      <c r="J12" s="149"/>
      <c r="K12" s="193" t="s">
        <v>891</v>
      </c>
      <c r="L12" s="149"/>
      <c r="M12" s="195"/>
      <c r="N12" s="196" t="s">
        <v>892</v>
      </c>
      <c r="O12" s="86"/>
    </row>
    <row r="13" spans="1:1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106" t="s">
        <v>85</v>
      </c>
      <c r="B14" s="160"/>
      <c r="C14" s="161"/>
      <c r="D14" s="141" t="str">
        <f>$A$1</f>
        <v>Seguridad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3"/>
      <c r="O14" s="86"/>
    </row>
    <row r="15" spans="1:15">
      <c r="A15" s="107" t="s">
        <v>86</v>
      </c>
      <c r="B15" s="140"/>
      <c r="C15" s="163"/>
      <c r="D15" s="141" t="str">
        <f>Seguridad!A2</f>
        <v>Se requiere que los usuarios puedan autenticarse mediante un nombre de usuario y una contraseña válidos, permitiendo el acceso a la aplicación solo a personas autorizadas.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3"/>
      <c r="O15" s="86"/>
    </row>
    <row r="16" spans="1:15">
      <c r="A16" s="104" t="s">
        <v>87</v>
      </c>
      <c r="B16" s="144"/>
      <c r="C16" s="166"/>
      <c r="D16" s="141" t="s">
        <v>893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3"/>
      <c r="O16" s="86"/>
    </row>
    <row r="17" spans="1:15">
      <c r="A17" s="104" t="s">
        <v>89</v>
      </c>
      <c r="B17" s="144"/>
      <c r="C17" s="166"/>
      <c r="D17" s="141" t="s">
        <v>894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3"/>
      <c r="O17" s="86"/>
    </row>
    <row r="18" spans="1:15">
      <c r="A18" s="104" t="s">
        <v>91</v>
      </c>
      <c r="B18" s="144"/>
      <c r="C18" s="166"/>
      <c r="D18" s="141" t="s">
        <v>116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86"/>
    </row>
    <row r="19" spans="1:15">
      <c r="A19" s="104" t="s">
        <v>93</v>
      </c>
      <c r="B19" s="144"/>
      <c r="C19" s="166"/>
      <c r="D19" s="141" t="s">
        <v>895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3"/>
      <c r="O19" s="86"/>
    </row>
    <row r="20" spans="1:15" ht="45.75" customHeight="1">
      <c r="A20" s="105" t="s">
        <v>95</v>
      </c>
      <c r="B20" s="167"/>
      <c r="C20" s="168"/>
      <c r="D20" s="169" t="s">
        <v>896</v>
      </c>
      <c r="E20" s="170"/>
      <c r="F20" s="170"/>
      <c r="G20" s="170"/>
      <c r="H20" s="170"/>
      <c r="I20" s="170"/>
      <c r="J20" s="170"/>
      <c r="K20" s="170"/>
      <c r="L20" s="170"/>
      <c r="M20" s="170"/>
      <c r="N20" s="171"/>
      <c r="O20" s="86"/>
    </row>
    <row r="21" spans="1:15" ht="48.75" customHeight="1">
      <c r="A21" s="102" t="s">
        <v>97</v>
      </c>
      <c r="B21" s="142"/>
      <c r="C21" s="143"/>
      <c r="D21" s="146" t="s">
        <v>897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3"/>
      <c r="O21" s="86"/>
    </row>
    <row r="22" spans="1:15">
      <c r="A22" s="103" t="s">
        <v>99</v>
      </c>
      <c r="B22" s="147"/>
      <c r="C22" s="103" t="s">
        <v>100</v>
      </c>
      <c r="D22" s="147"/>
      <c r="E22" s="103" t="s">
        <v>101</v>
      </c>
      <c r="F22" s="147"/>
      <c r="G22" s="103" t="s">
        <v>102</v>
      </c>
      <c r="H22" s="147"/>
      <c r="I22" s="103" t="s">
        <v>103</v>
      </c>
      <c r="J22" s="147"/>
      <c r="K22" s="103" t="s">
        <v>104</v>
      </c>
      <c r="L22" s="147"/>
      <c r="M22" s="61" t="s">
        <v>105</v>
      </c>
      <c r="N22" s="61" t="s">
        <v>106</v>
      </c>
      <c r="O22" s="86"/>
    </row>
    <row r="23" spans="1:15" ht="103.5" customHeight="1">
      <c r="A23" s="192" t="s">
        <v>2</v>
      </c>
      <c r="B23" s="149"/>
      <c r="C23" s="193" t="s">
        <v>898</v>
      </c>
      <c r="D23" s="149"/>
      <c r="E23" s="194" t="s">
        <v>109</v>
      </c>
      <c r="F23" s="149"/>
      <c r="G23" s="194" t="s">
        <v>193</v>
      </c>
      <c r="H23" s="149"/>
      <c r="I23" s="193" t="s">
        <v>899</v>
      </c>
      <c r="J23" s="149"/>
      <c r="K23" s="193" t="s">
        <v>900</v>
      </c>
      <c r="L23" s="149"/>
      <c r="M23" s="197"/>
      <c r="N23" s="196" t="s">
        <v>901</v>
      </c>
      <c r="O23" s="86"/>
    </row>
    <row r="24" spans="1:1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>
      <c r="A25" s="106" t="s">
        <v>85</v>
      </c>
      <c r="B25" s="160"/>
      <c r="C25" s="161"/>
      <c r="D25" s="141" t="str">
        <f>$A$1</f>
        <v>Seguridad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86"/>
    </row>
    <row r="26" spans="1:15">
      <c r="A26" s="107" t="s">
        <v>86</v>
      </c>
      <c r="B26" s="140"/>
      <c r="C26" s="163"/>
      <c r="D26" s="141" t="str">
        <f>Seguridad!A3</f>
        <v>Se requiere que la aplicación permita el registro de nuevos pilotos con validación de correo electrónico (verificación por email via Keycloak) antes de activar la cuenta.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3"/>
      <c r="O26" s="86"/>
    </row>
    <row r="27" spans="1:15">
      <c r="A27" s="104" t="s">
        <v>87</v>
      </c>
      <c r="B27" s="144"/>
      <c r="C27" s="166"/>
      <c r="D27" s="141" t="s">
        <v>902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3"/>
      <c r="O27" s="86"/>
    </row>
    <row r="28" spans="1:15">
      <c r="A28" s="104" t="s">
        <v>89</v>
      </c>
      <c r="B28" s="144"/>
      <c r="C28" s="166"/>
      <c r="D28" s="141" t="s">
        <v>903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86"/>
    </row>
    <row r="29" spans="1:15">
      <c r="A29" s="104" t="s">
        <v>91</v>
      </c>
      <c r="B29" s="144"/>
      <c r="C29" s="166"/>
      <c r="D29" s="141" t="s">
        <v>92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3"/>
      <c r="O29" s="86"/>
    </row>
    <row r="30" spans="1:15">
      <c r="A30" s="104" t="s">
        <v>93</v>
      </c>
      <c r="B30" s="144"/>
      <c r="C30" s="166"/>
      <c r="D30" s="141" t="s">
        <v>904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3"/>
      <c r="O30" s="86"/>
    </row>
    <row r="31" spans="1:15" ht="28.5" customHeight="1">
      <c r="A31" s="105" t="s">
        <v>95</v>
      </c>
      <c r="B31" s="167"/>
      <c r="C31" s="168"/>
      <c r="D31" s="169" t="s">
        <v>905</v>
      </c>
      <c r="E31" s="170"/>
      <c r="F31" s="170"/>
      <c r="G31" s="170"/>
      <c r="H31" s="170"/>
      <c r="I31" s="170"/>
      <c r="J31" s="170"/>
      <c r="K31" s="170"/>
      <c r="L31" s="170"/>
      <c r="M31" s="170"/>
      <c r="N31" s="171"/>
      <c r="O31" s="86"/>
    </row>
    <row r="32" spans="1:15" ht="20.25" customHeight="1">
      <c r="A32" s="102" t="s">
        <v>97</v>
      </c>
      <c r="B32" s="142"/>
      <c r="C32" s="143"/>
      <c r="D32" s="146" t="s">
        <v>906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3"/>
      <c r="O32" s="86"/>
    </row>
    <row r="33" spans="1:15">
      <c r="A33" s="103" t="s">
        <v>99</v>
      </c>
      <c r="B33" s="147"/>
      <c r="C33" s="103" t="s">
        <v>100</v>
      </c>
      <c r="D33" s="147"/>
      <c r="E33" s="103" t="s">
        <v>101</v>
      </c>
      <c r="F33" s="147"/>
      <c r="G33" s="103" t="s">
        <v>102</v>
      </c>
      <c r="H33" s="147"/>
      <c r="I33" s="103" t="s">
        <v>103</v>
      </c>
      <c r="J33" s="147"/>
      <c r="K33" s="103" t="s">
        <v>104</v>
      </c>
      <c r="L33" s="147"/>
      <c r="M33" s="61" t="s">
        <v>105</v>
      </c>
      <c r="N33" s="61" t="s">
        <v>106</v>
      </c>
      <c r="O33" s="86"/>
    </row>
    <row r="34" spans="1:15" ht="72" customHeight="1">
      <c r="A34" s="192" t="s">
        <v>2</v>
      </c>
      <c r="B34" s="149"/>
      <c r="C34" s="193" t="s">
        <v>907</v>
      </c>
      <c r="D34" s="149"/>
      <c r="E34" s="194" t="s">
        <v>109</v>
      </c>
      <c r="F34" s="149"/>
      <c r="G34" s="194" t="s">
        <v>193</v>
      </c>
      <c r="H34" s="149"/>
      <c r="I34" s="193" t="s">
        <v>908</v>
      </c>
      <c r="J34" s="149"/>
      <c r="K34" s="193" t="s">
        <v>909</v>
      </c>
      <c r="L34" s="149"/>
      <c r="M34" s="195"/>
      <c r="N34" s="196" t="s">
        <v>910</v>
      </c>
      <c r="O34" s="86"/>
    </row>
    <row r="35" spans="1:1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15">
      <c r="A36" s="106" t="s">
        <v>85</v>
      </c>
      <c r="B36" s="160"/>
      <c r="C36" s="161"/>
      <c r="D36" s="141" t="str">
        <f>$A$1</f>
        <v>Seguridad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3"/>
      <c r="O36" s="86"/>
    </row>
    <row r="37" spans="1:15">
      <c r="A37" s="107" t="s">
        <v>86</v>
      </c>
      <c r="B37" s="140"/>
      <c r="C37" s="163"/>
      <c r="D37" s="141" t="str">
        <f>Seguridad!A3</f>
        <v>Se requiere que la aplicación permita el registro de nuevos pilotos con validación de correo electrónico (verificación por email via Keycloak) antes de activar la cuenta.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3"/>
      <c r="O37" s="86"/>
    </row>
    <row r="38" spans="1:15">
      <c r="A38" s="104" t="s">
        <v>87</v>
      </c>
      <c r="B38" s="144"/>
      <c r="C38" s="166"/>
      <c r="D38" s="141" t="s">
        <v>911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3"/>
      <c r="O38" s="86"/>
    </row>
    <row r="39" spans="1:15">
      <c r="A39" s="104" t="s">
        <v>89</v>
      </c>
      <c r="B39" s="144"/>
      <c r="C39" s="166"/>
      <c r="D39" s="141" t="s">
        <v>912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3"/>
      <c r="O39" s="86"/>
    </row>
    <row r="40" spans="1:15">
      <c r="A40" s="104" t="s">
        <v>91</v>
      </c>
      <c r="B40" s="144"/>
      <c r="C40" s="166"/>
      <c r="D40" s="141" t="s">
        <v>92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3"/>
      <c r="O40" s="86"/>
    </row>
    <row r="41" spans="1:15">
      <c r="A41" s="104" t="s">
        <v>93</v>
      </c>
      <c r="B41" s="144"/>
      <c r="C41" s="166"/>
      <c r="D41" s="141" t="s">
        <v>913</v>
      </c>
      <c r="E41" s="142"/>
      <c r="F41" s="142"/>
      <c r="G41" s="142"/>
      <c r="H41" s="142"/>
      <c r="I41" s="142"/>
      <c r="J41" s="142"/>
      <c r="K41" s="142"/>
      <c r="L41" s="142"/>
      <c r="M41" s="142"/>
      <c r="N41" s="143"/>
      <c r="O41" s="86"/>
    </row>
    <row r="42" spans="1:15" ht="27" customHeight="1">
      <c r="A42" s="105" t="s">
        <v>95</v>
      </c>
      <c r="B42" s="167"/>
      <c r="C42" s="168"/>
      <c r="D42" s="169" t="s">
        <v>914</v>
      </c>
      <c r="E42" s="170"/>
      <c r="F42" s="170"/>
      <c r="G42" s="170"/>
      <c r="H42" s="170"/>
      <c r="I42" s="170"/>
      <c r="J42" s="170"/>
      <c r="K42" s="170"/>
      <c r="L42" s="170"/>
      <c r="M42" s="170"/>
      <c r="N42" s="171"/>
      <c r="O42" s="86"/>
    </row>
    <row r="43" spans="1:15" ht="25.5" customHeight="1">
      <c r="A43" s="102" t="s">
        <v>97</v>
      </c>
      <c r="B43" s="142"/>
      <c r="C43" s="143"/>
      <c r="D43" s="146" t="s">
        <v>915</v>
      </c>
      <c r="E43" s="142"/>
      <c r="F43" s="142"/>
      <c r="G43" s="142"/>
      <c r="H43" s="142"/>
      <c r="I43" s="142"/>
      <c r="J43" s="142"/>
      <c r="K43" s="142"/>
      <c r="L43" s="142"/>
      <c r="M43" s="142"/>
      <c r="N43" s="143"/>
      <c r="O43" s="86"/>
    </row>
    <row r="44" spans="1:15">
      <c r="A44" s="103" t="s">
        <v>99</v>
      </c>
      <c r="B44" s="147"/>
      <c r="C44" s="103" t="s">
        <v>100</v>
      </c>
      <c r="D44" s="147"/>
      <c r="E44" s="103" t="s">
        <v>101</v>
      </c>
      <c r="F44" s="147"/>
      <c r="G44" s="103" t="s">
        <v>102</v>
      </c>
      <c r="H44" s="147"/>
      <c r="I44" s="103" t="s">
        <v>103</v>
      </c>
      <c r="J44" s="147"/>
      <c r="K44" s="103" t="s">
        <v>104</v>
      </c>
      <c r="L44" s="147"/>
      <c r="M44" s="61" t="s">
        <v>105</v>
      </c>
      <c r="N44" s="61" t="s">
        <v>106</v>
      </c>
      <c r="O44" s="86"/>
    </row>
    <row r="45" spans="1:15" ht="92.25" customHeight="1">
      <c r="A45" s="192" t="s">
        <v>2</v>
      </c>
      <c r="B45" s="149"/>
      <c r="C45" s="193" t="s">
        <v>916</v>
      </c>
      <c r="D45" s="149"/>
      <c r="E45" s="194" t="s">
        <v>109</v>
      </c>
      <c r="F45" s="149"/>
      <c r="G45" s="194" t="s">
        <v>193</v>
      </c>
      <c r="H45" s="149"/>
      <c r="I45" s="193" t="s">
        <v>917</v>
      </c>
      <c r="J45" s="149"/>
      <c r="K45" s="193" t="s">
        <v>918</v>
      </c>
      <c r="L45" s="149"/>
      <c r="M45" s="197"/>
      <c r="N45" s="196" t="s">
        <v>919</v>
      </c>
      <c r="O45" s="86"/>
    </row>
    <row r="46" spans="1:1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5">
      <c r="A47" s="106" t="s">
        <v>85</v>
      </c>
      <c r="B47" s="160"/>
      <c r="C47" s="161"/>
      <c r="D47" s="141" t="str">
        <f>$A$1</f>
        <v>Seguridad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86"/>
    </row>
    <row r="48" spans="1:15" ht="24" customHeight="1">
      <c r="A48" s="107" t="s">
        <v>86</v>
      </c>
      <c r="B48" s="140"/>
      <c r="C48" s="163"/>
      <c r="D48" s="141" t="str">
        <f>Seguridad!A4</f>
        <v>Se requiere que los usuarios tengan la posibilidad de recuperar su contraseña, ya sea respondiendo preguntas de seguridad previamente configuradas o mediante un enlace enviado al correo electrónico registrado, garantizando la protección frente a accesos indebidos.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86"/>
    </row>
    <row r="49" spans="1:15">
      <c r="A49" s="104" t="s">
        <v>87</v>
      </c>
      <c r="B49" s="144"/>
      <c r="C49" s="166"/>
      <c r="D49" s="141" t="s">
        <v>920</v>
      </c>
      <c r="E49" s="142"/>
      <c r="F49" s="142"/>
      <c r="G49" s="142"/>
      <c r="H49" s="142"/>
      <c r="I49" s="142"/>
      <c r="J49" s="142"/>
      <c r="K49" s="142"/>
      <c r="L49" s="142"/>
      <c r="M49" s="142"/>
      <c r="N49" s="143"/>
      <c r="O49" s="86"/>
    </row>
    <row r="50" spans="1:15">
      <c r="A50" s="104" t="s">
        <v>89</v>
      </c>
      <c r="B50" s="144"/>
      <c r="C50" s="166"/>
      <c r="D50" s="141" t="s">
        <v>921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/>
      <c r="O50" s="86"/>
    </row>
    <row r="51" spans="1:15">
      <c r="A51" s="104" t="s">
        <v>91</v>
      </c>
      <c r="B51" s="144"/>
      <c r="C51" s="166"/>
      <c r="D51" s="141" t="s">
        <v>92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86"/>
    </row>
    <row r="52" spans="1:15">
      <c r="A52" s="104" t="s">
        <v>93</v>
      </c>
      <c r="B52" s="144"/>
      <c r="C52" s="166"/>
      <c r="D52" s="141" t="s">
        <v>922</v>
      </c>
      <c r="E52" s="142"/>
      <c r="F52" s="142"/>
      <c r="G52" s="142"/>
      <c r="H52" s="142"/>
      <c r="I52" s="142"/>
      <c r="J52" s="142"/>
      <c r="K52" s="142"/>
      <c r="L52" s="142"/>
      <c r="M52" s="142"/>
      <c r="N52" s="143"/>
      <c r="O52" s="86"/>
    </row>
    <row r="53" spans="1:15" ht="33.75" customHeight="1">
      <c r="A53" s="105" t="s">
        <v>95</v>
      </c>
      <c r="B53" s="167"/>
      <c r="C53" s="168"/>
      <c r="D53" s="169" t="s">
        <v>923</v>
      </c>
      <c r="E53" s="170"/>
      <c r="F53" s="170"/>
      <c r="G53" s="170"/>
      <c r="H53" s="170"/>
      <c r="I53" s="170"/>
      <c r="J53" s="170"/>
      <c r="K53" s="170"/>
      <c r="L53" s="170"/>
      <c r="M53" s="170"/>
      <c r="N53" s="171"/>
      <c r="O53" s="86"/>
    </row>
    <row r="54" spans="1:15" ht="37.5" customHeight="1">
      <c r="A54" s="102" t="s">
        <v>97</v>
      </c>
      <c r="B54" s="142"/>
      <c r="C54" s="143"/>
      <c r="D54" s="146" t="s">
        <v>924</v>
      </c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86"/>
    </row>
    <row r="55" spans="1:15">
      <c r="A55" s="103" t="s">
        <v>99</v>
      </c>
      <c r="B55" s="147"/>
      <c r="C55" s="103" t="s">
        <v>100</v>
      </c>
      <c r="D55" s="147"/>
      <c r="E55" s="103" t="s">
        <v>101</v>
      </c>
      <c r="F55" s="147"/>
      <c r="G55" s="103" t="s">
        <v>102</v>
      </c>
      <c r="H55" s="147"/>
      <c r="I55" s="103" t="s">
        <v>103</v>
      </c>
      <c r="J55" s="147"/>
      <c r="K55" s="103" t="s">
        <v>104</v>
      </c>
      <c r="L55" s="147"/>
      <c r="M55" s="61" t="s">
        <v>105</v>
      </c>
      <c r="N55" s="61" t="s">
        <v>106</v>
      </c>
      <c r="O55" s="86"/>
    </row>
    <row r="56" spans="1:15" ht="75" customHeight="1">
      <c r="A56" s="192" t="s">
        <v>2</v>
      </c>
      <c r="B56" s="149"/>
      <c r="C56" s="193" t="s">
        <v>925</v>
      </c>
      <c r="D56" s="149"/>
      <c r="E56" s="194" t="s">
        <v>109</v>
      </c>
      <c r="F56" s="149"/>
      <c r="G56" s="194" t="s">
        <v>193</v>
      </c>
      <c r="H56" s="149"/>
      <c r="I56" s="193" t="s">
        <v>926</v>
      </c>
      <c r="J56" s="149"/>
      <c r="K56" s="193" t="s">
        <v>927</v>
      </c>
      <c r="L56" s="149"/>
      <c r="M56" s="195"/>
      <c r="N56" s="196" t="s">
        <v>928</v>
      </c>
      <c r="O56" s="86"/>
    </row>
    <row r="57" spans="1:1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</row>
    <row r="58" spans="1:15">
      <c r="A58" s="106" t="s">
        <v>85</v>
      </c>
      <c r="B58" s="160"/>
      <c r="C58" s="161"/>
      <c r="D58" s="141" t="str">
        <f>$A$1</f>
        <v>Seguridad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86"/>
    </row>
    <row r="59" spans="1:15" ht="30.75" customHeight="1">
      <c r="A59" s="107" t="s">
        <v>86</v>
      </c>
      <c r="B59" s="140"/>
      <c r="C59" s="163"/>
      <c r="D59" s="141" t="str">
        <f>Seguridad!A4</f>
        <v>Se requiere que los usuarios tengan la posibilidad de recuperar su contraseña, ya sea respondiendo preguntas de seguridad previamente configuradas o mediante un enlace enviado al correo electrónico registrado, garantizando la protección frente a accesos indebidos.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3"/>
      <c r="O59" s="86"/>
    </row>
    <row r="60" spans="1:15">
      <c r="A60" s="104" t="s">
        <v>87</v>
      </c>
      <c r="B60" s="144"/>
      <c r="C60" s="166"/>
      <c r="D60" s="141" t="s">
        <v>929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3"/>
      <c r="O60" s="86"/>
    </row>
    <row r="61" spans="1:15">
      <c r="A61" s="104" t="s">
        <v>89</v>
      </c>
      <c r="B61" s="144"/>
      <c r="C61" s="166"/>
      <c r="D61" s="141" t="s">
        <v>930</v>
      </c>
      <c r="E61" s="142"/>
      <c r="F61" s="142"/>
      <c r="G61" s="142"/>
      <c r="H61" s="142"/>
      <c r="I61" s="142"/>
      <c r="J61" s="142"/>
      <c r="K61" s="142"/>
      <c r="L61" s="142"/>
      <c r="M61" s="142"/>
      <c r="N61" s="143"/>
      <c r="O61" s="86"/>
    </row>
    <row r="62" spans="1:15">
      <c r="A62" s="104" t="s">
        <v>91</v>
      </c>
      <c r="B62" s="144"/>
      <c r="C62" s="166"/>
      <c r="D62" s="141" t="s">
        <v>92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3"/>
      <c r="O62" s="86"/>
    </row>
    <row r="63" spans="1:15">
      <c r="A63" s="104" t="s">
        <v>93</v>
      </c>
      <c r="B63" s="144"/>
      <c r="C63" s="166"/>
      <c r="D63" s="141" t="s">
        <v>931</v>
      </c>
      <c r="E63" s="142"/>
      <c r="F63" s="142"/>
      <c r="G63" s="142"/>
      <c r="H63" s="142"/>
      <c r="I63" s="142"/>
      <c r="J63" s="142"/>
      <c r="K63" s="142"/>
      <c r="L63" s="142"/>
      <c r="M63" s="142"/>
      <c r="N63" s="143"/>
      <c r="O63" s="86"/>
    </row>
    <row r="64" spans="1:15" ht="15" customHeight="1">
      <c r="A64" s="105" t="s">
        <v>95</v>
      </c>
      <c r="B64" s="167"/>
      <c r="C64" s="168"/>
      <c r="D64" s="169" t="s">
        <v>932</v>
      </c>
      <c r="E64" s="170"/>
      <c r="F64" s="170"/>
      <c r="G64" s="170"/>
      <c r="H64" s="170"/>
      <c r="I64" s="170"/>
      <c r="J64" s="170"/>
      <c r="K64" s="170"/>
      <c r="L64" s="170"/>
      <c r="M64" s="170"/>
      <c r="N64" s="171"/>
      <c r="O64" s="86"/>
    </row>
    <row r="65" spans="1:15" ht="36" customHeight="1">
      <c r="A65" s="102" t="s">
        <v>97</v>
      </c>
      <c r="B65" s="142"/>
      <c r="C65" s="143"/>
      <c r="D65" s="146" t="s">
        <v>933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3"/>
      <c r="O65" s="86"/>
    </row>
    <row r="66" spans="1:15">
      <c r="A66" s="128" t="s">
        <v>99</v>
      </c>
      <c r="B66" s="198"/>
      <c r="C66" s="128" t="s">
        <v>100</v>
      </c>
      <c r="D66" s="198"/>
      <c r="E66" s="128" t="s">
        <v>101</v>
      </c>
      <c r="F66" s="198"/>
      <c r="G66" s="128" t="s">
        <v>102</v>
      </c>
      <c r="H66" s="198"/>
      <c r="I66" s="103" t="s">
        <v>103</v>
      </c>
      <c r="J66" s="147"/>
      <c r="K66" s="103" t="s">
        <v>104</v>
      </c>
      <c r="L66" s="147"/>
      <c r="M66" s="61" t="s">
        <v>105</v>
      </c>
      <c r="N66" s="61" t="s">
        <v>106</v>
      </c>
      <c r="O66" s="86"/>
    </row>
    <row r="67" spans="1:15" ht="81.75" customHeight="1">
      <c r="A67" s="156" t="s">
        <v>2</v>
      </c>
      <c r="B67" s="157"/>
      <c r="C67" s="158" t="s">
        <v>934</v>
      </c>
      <c r="D67" s="157"/>
      <c r="E67" s="159" t="s">
        <v>109</v>
      </c>
      <c r="F67" s="157"/>
      <c r="G67" s="159" t="s">
        <v>193</v>
      </c>
      <c r="H67" s="157"/>
      <c r="I67" s="193" t="s">
        <v>935</v>
      </c>
      <c r="J67" s="149"/>
      <c r="K67" s="193" t="s">
        <v>936</v>
      </c>
      <c r="L67" s="149"/>
      <c r="M67" s="197"/>
      <c r="N67" s="196" t="s">
        <v>937</v>
      </c>
      <c r="O67" s="86"/>
    </row>
    <row r="68" spans="1:1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>
      <c r="A69" s="106" t="s">
        <v>85</v>
      </c>
      <c r="B69" s="160"/>
      <c r="C69" s="161"/>
      <c r="D69" s="141" t="str">
        <f>$A$1</f>
        <v>Seguridad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3"/>
      <c r="O69" s="86"/>
    </row>
    <row r="70" spans="1:15" ht="30.75" customHeight="1">
      <c r="A70" s="107" t="s">
        <v>86</v>
      </c>
      <c r="B70" s="140"/>
      <c r="C70" s="163"/>
      <c r="D70" s="141" t="str">
        <f>Seguridad!A5</f>
        <v>Se requiere que las credenciales de los pilotos sean gestionadas por Keycloak con cifrado seguro, y que los tokens de sesión se transporten como cookies HttpOnly para evitar exposición.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3"/>
      <c r="O70" s="86"/>
    </row>
    <row r="71" spans="1:15">
      <c r="A71" s="104" t="s">
        <v>87</v>
      </c>
      <c r="B71" s="144"/>
      <c r="C71" s="166"/>
      <c r="D71" s="141" t="s">
        <v>938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3"/>
      <c r="O71" s="86"/>
    </row>
    <row r="72" spans="1:15">
      <c r="A72" s="104" t="s">
        <v>89</v>
      </c>
      <c r="B72" s="144"/>
      <c r="C72" s="166"/>
      <c r="D72" s="141" t="s">
        <v>939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3"/>
      <c r="O72" s="86"/>
    </row>
    <row r="73" spans="1:15">
      <c r="A73" s="104" t="s">
        <v>91</v>
      </c>
      <c r="B73" s="144"/>
      <c r="C73" s="166"/>
      <c r="D73" s="141" t="s">
        <v>92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3"/>
      <c r="O73" s="86"/>
    </row>
    <row r="74" spans="1:15">
      <c r="A74" s="104" t="s">
        <v>93</v>
      </c>
      <c r="B74" s="144"/>
      <c r="C74" s="166"/>
      <c r="D74" s="141" t="s">
        <v>940</v>
      </c>
      <c r="E74" s="142"/>
      <c r="F74" s="142"/>
      <c r="G74" s="142"/>
      <c r="H74" s="142"/>
      <c r="I74" s="142"/>
      <c r="J74" s="142"/>
      <c r="K74" s="142"/>
      <c r="L74" s="142"/>
      <c r="M74" s="142"/>
      <c r="N74" s="143"/>
      <c r="O74" s="86"/>
    </row>
    <row r="75" spans="1:15" ht="42.75" customHeight="1">
      <c r="A75" s="105" t="s">
        <v>95</v>
      </c>
      <c r="B75" s="167"/>
      <c r="C75" s="168"/>
      <c r="D75" s="169" t="s">
        <v>941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1"/>
      <c r="O75" s="86"/>
    </row>
    <row r="76" spans="1:15" ht="39" customHeight="1">
      <c r="A76" s="102" t="s">
        <v>97</v>
      </c>
      <c r="B76" s="142"/>
      <c r="C76" s="143"/>
      <c r="D76" s="146" t="s">
        <v>942</v>
      </c>
      <c r="E76" s="142"/>
      <c r="F76" s="142"/>
      <c r="G76" s="142"/>
      <c r="H76" s="142"/>
      <c r="I76" s="142"/>
      <c r="J76" s="142"/>
      <c r="K76" s="142"/>
      <c r="L76" s="142"/>
      <c r="M76" s="142"/>
      <c r="N76" s="143"/>
      <c r="O76" s="86"/>
    </row>
    <row r="77" spans="1:15">
      <c r="A77" s="103" t="s">
        <v>99</v>
      </c>
      <c r="B77" s="147"/>
      <c r="C77" s="103" t="s">
        <v>100</v>
      </c>
      <c r="D77" s="147"/>
      <c r="E77" s="103" t="s">
        <v>101</v>
      </c>
      <c r="F77" s="147"/>
      <c r="G77" s="103" t="s">
        <v>102</v>
      </c>
      <c r="H77" s="147"/>
      <c r="I77" s="103" t="s">
        <v>103</v>
      </c>
      <c r="J77" s="147"/>
      <c r="K77" s="103" t="s">
        <v>104</v>
      </c>
      <c r="L77" s="147"/>
      <c r="M77" s="61" t="s">
        <v>105</v>
      </c>
      <c r="N77" s="61" t="s">
        <v>106</v>
      </c>
      <c r="O77" s="86"/>
    </row>
    <row r="78" spans="1:15" ht="75.75" customHeight="1">
      <c r="A78" s="192" t="s">
        <v>193</v>
      </c>
      <c r="B78" s="149"/>
      <c r="C78" s="193" t="s">
        <v>943</v>
      </c>
      <c r="D78" s="149"/>
      <c r="E78" s="194" t="s">
        <v>109</v>
      </c>
      <c r="F78" s="149"/>
      <c r="G78" s="194" t="s">
        <v>193</v>
      </c>
      <c r="H78" s="149"/>
      <c r="I78" s="193" t="s">
        <v>944</v>
      </c>
      <c r="J78" s="149"/>
      <c r="K78" s="193" t="s">
        <v>945</v>
      </c>
      <c r="L78" s="149"/>
      <c r="M78" s="195"/>
      <c r="N78" s="196" t="s">
        <v>946</v>
      </c>
      <c r="O78" s="86"/>
    </row>
    <row r="79" spans="1:1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>
      <c r="A80" s="106" t="s">
        <v>85</v>
      </c>
      <c r="B80" s="160"/>
      <c r="C80" s="161"/>
      <c r="D80" s="141" t="str">
        <f>$A$1</f>
        <v>Seguridad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3"/>
      <c r="O80" s="86"/>
    </row>
    <row r="81" spans="1:15" ht="27.75" customHeight="1">
      <c r="A81" s="107" t="s">
        <v>86</v>
      </c>
      <c r="B81" s="140"/>
      <c r="C81" s="163"/>
      <c r="D81" s="141" t="str">
        <f>Seguridad!A5</f>
        <v>Se requiere que las credenciales de los pilotos sean gestionadas por Keycloak con cifrado seguro, y que los tokens de sesión se transporten como cookies HttpOnly para evitar exposición.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3"/>
      <c r="O81" s="86"/>
    </row>
    <row r="82" spans="1:15">
      <c r="A82" s="104" t="s">
        <v>87</v>
      </c>
      <c r="B82" s="144"/>
      <c r="C82" s="166"/>
      <c r="D82" s="141" t="s">
        <v>947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3"/>
      <c r="O82" s="86"/>
    </row>
    <row r="83" spans="1:15" ht="15" customHeight="1">
      <c r="A83" s="104" t="s">
        <v>89</v>
      </c>
      <c r="B83" s="144"/>
      <c r="C83" s="166"/>
      <c r="D83" s="141" t="s">
        <v>778</v>
      </c>
      <c r="E83" s="142"/>
      <c r="F83" s="142"/>
      <c r="G83" s="142"/>
      <c r="H83" s="142"/>
      <c r="I83" s="142"/>
      <c r="J83" s="142"/>
      <c r="K83" s="142"/>
      <c r="L83" s="142"/>
      <c r="M83" s="142"/>
      <c r="N83" s="143"/>
      <c r="O83" s="86"/>
    </row>
    <row r="84" spans="1:15">
      <c r="A84" s="104" t="s">
        <v>91</v>
      </c>
      <c r="B84" s="144"/>
      <c r="C84" s="166"/>
      <c r="D84" s="141" t="s">
        <v>92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3"/>
      <c r="O84" s="86"/>
    </row>
    <row r="85" spans="1:15" ht="25.5" customHeight="1">
      <c r="A85" s="104" t="s">
        <v>93</v>
      </c>
      <c r="B85" s="144"/>
      <c r="C85" s="166"/>
      <c r="D85" s="141" t="s">
        <v>948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3"/>
      <c r="O85" s="86"/>
    </row>
    <row r="86" spans="1:15" ht="31.5" customHeight="1">
      <c r="A86" s="105" t="s">
        <v>95</v>
      </c>
      <c r="B86" s="167"/>
      <c r="C86" s="168"/>
      <c r="D86" s="169" t="s">
        <v>949</v>
      </c>
      <c r="E86" s="170"/>
      <c r="F86" s="170"/>
      <c r="G86" s="170"/>
      <c r="H86" s="170"/>
      <c r="I86" s="170"/>
      <c r="J86" s="170"/>
      <c r="K86" s="170"/>
      <c r="L86" s="170"/>
      <c r="M86" s="170"/>
      <c r="N86" s="171"/>
      <c r="O86" s="86"/>
    </row>
    <row r="87" spans="1:15" ht="39.75" customHeight="1">
      <c r="A87" s="102" t="s">
        <v>97</v>
      </c>
      <c r="B87" s="142"/>
      <c r="C87" s="143"/>
      <c r="D87" s="146" t="s">
        <v>950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3"/>
      <c r="O87" s="86"/>
    </row>
    <row r="88" spans="1:15">
      <c r="A88" s="128" t="s">
        <v>99</v>
      </c>
      <c r="B88" s="198"/>
      <c r="C88" s="128" t="s">
        <v>100</v>
      </c>
      <c r="D88" s="198"/>
      <c r="E88" s="128" t="s">
        <v>101</v>
      </c>
      <c r="F88" s="198"/>
      <c r="G88" s="128" t="s">
        <v>102</v>
      </c>
      <c r="H88" s="198"/>
      <c r="I88" s="103" t="s">
        <v>103</v>
      </c>
      <c r="J88" s="147"/>
      <c r="K88" s="103" t="s">
        <v>104</v>
      </c>
      <c r="L88" s="147"/>
      <c r="M88" s="61" t="s">
        <v>105</v>
      </c>
      <c r="N88" s="61" t="s">
        <v>106</v>
      </c>
      <c r="O88" s="86"/>
    </row>
    <row r="89" spans="1:15" ht="82.5" customHeight="1">
      <c r="A89" s="156" t="s">
        <v>193</v>
      </c>
      <c r="B89" s="157"/>
      <c r="C89" s="158" t="s">
        <v>951</v>
      </c>
      <c r="D89" s="157"/>
      <c r="E89" s="159" t="s">
        <v>109</v>
      </c>
      <c r="F89" s="157"/>
      <c r="G89" s="159" t="s">
        <v>193</v>
      </c>
      <c r="H89" s="157"/>
      <c r="I89" s="193" t="s">
        <v>952</v>
      </c>
      <c r="J89" s="149"/>
      <c r="K89" s="193" t="s">
        <v>953</v>
      </c>
      <c r="L89" s="149"/>
      <c r="M89" s="197"/>
      <c r="N89" s="196" t="s">
        <v>954</v>
      </c>
      <c r="O89" s="86"/>
    </row>
    <row r="90" spans="1:1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>
      <c r="A91" s="106" t="s">
        <v>85</v>
      </c>
      <c r="B91" s="160"/>
      <c r="C91" s="161"/>
      <c r="D91" s="141" t="str">
        <f>$A$1</f>
        <v>Seguridad</v>
      </c>
      <c r="E91" s="142"/>
      <c r="F91" s="142"/>
      <c r="G91" s="142"/>
      <c r="H91" s="142"/>
      <c r="I91" s="142"/>
      <c r="J91" s="142"/>
      <c r="K91" s="142"/>
      <c r="L91" s="142"/>
      <c r="M91" s="142"/>
      <c r="N91" s="143"/>
      <c r="O91" s="86"/>
    </row>
    <row r="92" spans="1:15" ht="21.75" customHeight="1">
      <c r="A92" s="107" t="s">
        <v>86</v>
      </c>
      <c r="B92" s="140"/>
      <c r="C92" s="163"/>
      <c r="D92" s="141" t="str">
        <f>Seguridad!A6</f>
        <v>Se requiere que la aplicación implemente control de acceso basado en roles (RBAC), donde solo los administradores puedan gestionar aerolíneas, rutas y aeronaves, y los pilotos accedan únicamente a sus datos de vuelo.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3"/>
      <c r="O92" s="86"/>
    </row>
    <row r="93" spans="1:15">
      <c r="A93" s="104" t="s">
        <v>87</v>
      </c>
      <c r="B93" s="144"/>
      <c r="C93" s="166"/>
      <c r="D93" s="141" t="s">
        <v>955</v>
      </c>
      <c r="E93" s="142"/>
      <c r="F93" s="142"/>
      <c r="G93" s="142"/>
      <c r="H93" s="142"/>
      <c r="I93" s="142"/>
      <c r="J93" s="142"/>
      <c r="K93" s="142"/>
      <c r="L93" s="142"/>
      <c r="M93" s="142"/>
      <c r="N93" s="143"/>
      <c r="O93" s="86"/>
    </row>
    <row r="94" spans="1:15" ht="15" customHeight="1">
      <c r="A94" s="104" t="s">
        <v>89</v>
      </c>
      <c r="B94" s="144"/>
      <c r="C94" s="166"/>
      <c r="D94" s="141" t="s">
        <v>956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3"/>
      <c r="O94" s="86"/>
    </row>
    <row r="95" spans="1:15">
      <c r="A95" s="104" t="s">
        <v>91</v>
      </c>
      <c r="B95" s="144"/>
      <c r="C95" s="166"/>
      <c r="D95" s="141" t="s">
        <v>92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/>
      <c r="O95" s="86"/>
    </row>
    <row r="96" spans="1:15" ht="15" customHeight="1">
      <c r="A96" s="104" t="s">
        <v>93</v>
      </c>
      <c r="B96" s="144"/>
      <c r="C96" s="166"/>
      <c r="D96" s="141" t="s">
        <v>957</v>
      </c>
      <c r="E96" s="142"/>
      <c r="F96" s="142"/>
      <c r="G96" s="142"/>
      <c r="H96" s="142"/>
      <c r="I96" s="142"/>
      <c r="J96" s="142"/>
      <c r="K96" s="142"/>
      <c r="L96" s="142"/>
      <c r="M96" s="142"/>
      <c r="N96" s="143"/>
      <c r="O96" s="86"/>
    </row>
    <row r="97" spans="1:15" ht="25.5" customHeight="1">
      <c r="A97" s="105" t="s">
        <v>95</v>
      </c>
      <c r="B97" s="167"/>
      <c r="C97" s="168"/>
      <c r="D97" s="169" t="s">
        <v>958</v>
      </c>
      <c r="E97" s="170"/>
      <c r="F97" s="170"/>
      <c r="G97" s="170"/>
      <c r="H97" s="170"/>
      <c r="I97" s="170"/>
      <c r="J97" s="170"/>
      <c r="K97" s="170"/>
      <c r="L97" s="170"/>
      <c r="M97" s="170"/>
      <c r="N97" s="171"/>
      <c r="O97" s="86"/>
    </row>
    <row r="98" spans="1:15" ht="39" customHeight="1">
      <c r="A98" s="102" t="s">
        <v>97</v>
      </c>
      <c r="B98" s="142"/>
      <c r="C98" s="143"/>
      <c r="D98" s="146" t="s">
        <v>959</v>
      </c>
      <c r="E98" s="142"/>
      <c r="F98" s="142"/>
      <c r="G98" s="142"/>
      <c r="H98" s="142"/>
      <c r="I98" s="142"/>
      <c r="J98" s="142"/>
      <c r="K98" s="142"/>
      <c r="L98" s="142"/>
      <c r="M98" s="142"/>
      <c r="N98" s="143"/>
      <c r="O98" s="86"/>
    </row>
    <row r="99" spans="1:15">
      <c r="A99" s="103" t="s">
        <v>99</v>
      </c>
      <c r="B99" s="147"/>
      <c r="C99" s="103" t="s">
        <v>100</v>
      </c>
      <c r="D99" s="147"/>
      <c r="E99" s="103" t="s">
        <v>101</v>
      </c>
      <c r="F99" s="147"/>
      <c r="G99" s="103" t="s">
        <v>102</v>
      </c>
      <c r="H99" s="147"/>
      <c r="I99" s="103" t="s">
        <v>103</v>
      </c>
      <c r="J99" s="147"/>
      <c r="K99" s="103" t="s">
        <v>104</v>
      </c>
      <c r="L99" s="147"/>
      <c r="M99" s="61" t="s">
        <v>105</v>
      </c>
      <c r="N99" s="61" t="s">
        <v>106</v>
      </c>
      <c r="O99" s="86"/>
    </row>
    <row r="100" spans="1:15" ht="70.5" customHeight="1">
      <c r="A100" s="192" t="s">
        <v>2</v>
      </c>
      <c r="B100" s="149"/>
      <c r="C100" s="193" t="s">
        <v>960</v>
      </c>
      <c r="D100" s="149"/>
      <c r="E100" s="194" t="s">
        <v>109</v>
      </c>
      <c r="F100" s="149"/>
      <c r="G100" s="194" t="s">
        <v>193</v>
      </c>
      <c r="H100" s="149"/>
      <c r="I100" s="193" t="s">
        <v>961</v>
      </c>
      <c r="J100" s="149"/>
      <c r="K100" s="193" t="s">
        <v>962</v>
      </c>
      <c r="L100" s="149"/>
      <c r="M100" s="195"/>
      <c r="N100" s="196" t="s">
        <v>963</v>
      </c>
      <c r="O100" s="86"/>
    </row>
    <row r="101" spans="1:1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</row>
    <row r="102" spans="1:15">
      <c r="A102" s="106" t="s">
        <v>85</v>
      </c>
      <c r="B102" s="160"/>
      <c r="C102" s="161"/>
      <c r="D102" s="141" t="str">
        <f>$A$1</f>
        <v>Seguridad</v>
      </c>
      <c r="E102" s="142"/>
      <c r="F102" s="142"/>
      <c r="G102" s="142"/>
      <c r="H102" s="142"/>
      <c r="I102" s="142"/>
      <c r="J102" s="142"/>
      <c r="K102" s="142"/>
      <c r="L102" s="142"/>
      <c r="M102" s="142"/>
      <c r="N102" s="143"/>
      <c r="O102" s="86"/>
    </row>
    <row r="103" spans="1:15" ht="15" customHeight="1">
      <c r="A103" s="107" t="s">
        <v>86</v>
      </c>
      <c r="B103" s="140"/>
      <c r="C103" s="163"/>
      <c r="D103" s="141" t="str">
        <f>Seguridad!A6</f>
        <v>Se requiere que la aplicación implemente control de acceso basado en roles (RBAC), donde solo los administradores puedan gestionar aerolíneas, rutas y aeronaves, y los pilotos accedan únicamente a sus datos de vuelo.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86"/>
    </row>
    <row r="104" spans="1:15">
      <c r="A104" s="104" t="s">
        <v>87</v>
      </c>
      <c r="B104" s="144"/>
      <c r="C104" s="166"/>
      <c r="D104" s="141" t="s">
        <v>964</v>
      </c>
      <c r="E104" s="142"/>
      <c r="F104" s="142"/>
      <c r="G104" s="142"/>
      <c r="H104" s="142"/>
      <c r="I104" s="142"/>
      <c r="J104" s="142"/>
      <c r="K104" s="142"/>
      <c r="L104" s="142"/>
      <c r="M104" s="142"/>
      <c r="N104" s="143"/>
      <c r="O104" s="86"/>
    </row>
    <row r="105" spans="1:15" ht="15" customHeight="1">
      <c r="A105" s="104" t="s">
        <v>89</v>
      </c>
      <c r="B105" s="144"/>
      <c r="C105" s="166"/>
      <c r="D105" s="141" t="s">
        <v>965</v>
      </c>
      <c r="E105" s="142"/>
      <c r="F105" s="142"/>
      <c r="G105" s="142"/>
      <c r="H105" s="142"/>
      <c r="I105" s="142"/>
      <c r="J105" s="142"/>
      <c r="K105" s="142"/>
      <c r="L105" s="142"/>
      <c r="M105" s="142"/>
      <c r="N105" s="143"/>
      <c r="O105" s="86"/>
    </row>
    <row r="106" spans="1:15">
      <c r="A106" s="104" t="s">
        <v>91</v>
      </c>
      <c r="B106" s="144"/>
      <c r="C106" s="166"/>
      <c r="D106" s="141" t="s">
        <v>92</v>
      </c>
      <c r="E106" s="142"/>
      <c r="F106" s="142"/>
      <c r="G106" s="142"/>
      <c r="H106" s="142"/>
      <c r="I106" s="142"/>
      <c r="J106" s="142"/>
      <c r="K106" s="142"/>
      <c r="L106" s="142"/>
      <c r="M106" s="142"/>
      <c r="N106" s="143"/>
      <c r="O106" s="86"/>
    </row>
    <row r="107" spans="1:15" ht="15" customHeight="1">
      <c r="A107" s="104" t="s">
        <v>93</v>
      </c>
      <c r="B107" s="144"/>
      <c r="C107" s="166"/>
      <c r="D107" s="141" t="s">
        <v>966</v>
      </c>
      <c r="E107" s="142"/>
      <c r="F107" s="142"/>
      <c r="G107" s="142"/>
      <c r="H107" s="142"/>
      <c r="I107" s="142"/>
      <c r="J107" s="142"/>
      <c r="K107" s="142"/>
      <c r="L107" s="142"/>
      <c r="M107" s="142"/>
      <c r="N107" s="143"/>
      <c r="O107" s="86"/>
    </row>
    <row r="108" spans="1:15" ht="31.5" customHeight="1">
      <c r="A108" s="105" t="s">
        <v>95</v>
      </c>
      <c r="B108" s="167"/>
      <c r="C108" s="168"/>
      <c r="D108" s="169" t="s">
        <v>967</v>
      </c>
      <c r="E108" s="170"/>
      <c r="F108" s="170"/>
      <c r="G108" s="170"/>
      <c r="H108" s="170"/>
      <c r="I108" s="170"/>
      <c r="J108" s="170"/>
      <c r="K108" s="170"/>
      <c r="L108" s="170"/>
      <c r="M108" s="170"/>
      <c r="N108" s="171"/>
      <c r="O108" s="86"/>
    </row>
    <row r="109" spans="1:15" ht="48.75" customHeight="1">
      <c r="A109" s="102" t="s">
        <v>97</v>
      </c>
      <c r="B109" s="142"/>
      <c r="C109" s="143"/>
      <c r="D109" s="146" t="s">
        <v>968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3"/>
      <c r="O109" s="86"/>
    </row>
    <row r="110" spans="1:15">
      <c r="A110" s="128" t="s">
        <v>99</v>
      </c>
      <c r="B110" s="198"/>
      <c r="C110" s="128" t="s">
        <v>100</v>
      </c>
      <c r="D110" s="198"/>
      <c r="E110" s="128" t="s">
        <v>101</v>
      </c>
      <c r="F110" s="198"/>
      <c r="G110" s="128" t="s">
        <v>102</v>
      </c>
      <c r="H110" s="198"/>
      <c r="I110" s="103" t="s">
        <v>103</v>
      </c>
      <c r="J110" s="147"/>
      <c r="K110" s="103" t="s">
        <v>104</v>
      </c>
      <c r="L110" s="147"/>
      <c r="M110" s="61" t="s">
        <v>105</v>
      </c>
      <c r="N110" s="61" t="s">
        <v>106</v>
      </c>
      <c r="O110" s="86"/>
    </row>
    <row r="111" spans="1:15" ht="91.5" customHeight="1">
      <c r="A111" s="156" t="s">
        <v>2</v>
      </c>
      <c r="B111" s="157"/>
      <c r="C111" s="158" t="s">
        <v>969</v>
      </c>
      <c r="D111" s="157"/>
      <c r="E111" s="159" t="s">
        <v>109</v>
      </c>
      <c r="F111" s="157"/>
      <c r="G111" s="159" t="s">
        <v>193</v>
      </c>
      <c r="H111" s="157"/>
      <c r="I111" s="193" t="s">
        <v>970</v>
      </c>
      <c r="J111" s="149"/>
      <c r="K111" s="193" t="s">
        <v>971</v>
      </c>
      <c r="L111" s="149"/>
      <c r="M111" s="197"/>
      <c r="N111" s="196" t="s">
        <v>972</v>
      </c>
      <c r="O111" s="86"/>
    </row>
    <row r="112" spans="1:1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</row>
    <row r="113" spans="1:15">
      <c r="A113" s="106" t="s">
        <v>85</v>
      </c>
      <c r="B113" s="160"/>
      <c r="C113" s="161"/>
      <c r="D113" s="141" t="str">
        <f>$A$1</f>
        <v>Seguridad</v>
      </c>
      <c r="E113" s="142"/>
      <c r="F113" s="142"/>
      <c r="G113" s="142"/>
      <c r="H113" s="142"/>
      <c r="I113" s="142"/>
      <c r="J113" s="142"/>
      <c r="K113" s="142"/>
      <c r="L113" s="142"/>
      <c r="M113" s="142"/>
      <c r="N113" s="143"/>
      <c r="O113" s="86"/>
    </row>
    <row r="114" spans="1:15" ht="15" customHeight="1">
      <c r="A114" s="107" t="s">
        <v>86</v>
      </c>
      <c r="B114" s="140"/>
      <c r="C114" s="163"/>
      <c r="D114" s="141" t="str">
        <f>Seguridad!A7</f>
        <v>Se requiere que la aplicación cierre automáticamente la sesión del usuario tras un período determinado de inactividad, con el fin de evitar accesos no autorizados por descuido o abandono de sesión.</v>
      </c>
      <c r="E114" s="142"/>
      <c r="F114" s="142"/>
      <c r="G114" s="142"/>
      <c r="H114" s="142"/>
      <c r="I114" s="142"/>
      <c r="J114" s="142"/>
      <c r="K114" s="142"/>
      <c r="L114" s="142"/>
      <c r="M114" s="142"/>
      <c r="N114" s="143"/>
      <c r="O114" s="86"/>
    </row>
    <row r="115" spans="1:15">
      <c r="A115" s="104" t="s">
        <v>87</v>
      </c>
      <c r="B115" s="144"/>
      <c r="C115" s="166"/>
      <c r="D115" s="141" t="s">
        <v>973</v>
      </c>
      <c r="E115" s="142"/>
      <c r="F115" s="142"/>
      <c r="G115" s="142"/>
      <c r="H115" s="142"/>
      <c r="I115" s="142"/>
      <c r="J115" s="142"/>
      <c r="K115" s="142"/>
      <c r="L115" s="142"/>
      <c r="M115" s="142"/>
      <c r="N115" s="143"/>
      <c r="O115" s="86"/>
    </row>
    <row r="116" spans="1:15">
      <c r="A116" s="104" t="s">
        <v>89</v>
      </c>
      <c r="B116" s="144"/>
      <c r="C116" s="166"/>
      <c r="D116" s="141" t="s">
        <v>974</v>
      </c>
      <c r="E116" s="142"/>
      <c r="F116" s="142"/>
      <c r="G116" s="142"/>
      <c r="H116" s="142"/>
      <c r="I116" s="142"/>
      <c r="J116" s="142"/>
      <c r="K116" s="142"/>
      <c r="L116" s="142"/>
      <c r="M116" s="142"/>
      <c r="N116" s="143"/>
      <c r="O116" s="86"/>
    </row>
    <row r="117" spans="1:15">
      <c r="A117" s="104" t="s">
        <v>91</v>
      </c>
      <c r="B117" s="144"/>
      <c r="C117" s="166"/>
      <c r="D117" s="141" t="s">
        <v>92</v>
      </c>
      <c r="E117" s="142"/>
      <c r="F117" s="142"/>
      <c r="G117" s="142"/>
      <c r="H117" s="142"/>
      <c r="I117" s="142"/>
      <c r="J117" s="142"/>
      <c r="K117" s="142"/>
      <c r="L117" s="142"/>
      <c r="M117" s="142"/>
      <c r="N117" s="143"/>
      <c r="O117" s="86"/>
    </row>
    <row r="118" spans="1:15" ht="15" customHeight="1">
      <c r="A118" s="104" t="s">
        <v>93</v>
      </c>
      <c r="B118" s="144"/>
      <c r="C118" s="166"/>
      <c r="D118" s="141" t="s">
        <v>975</v>
      </c>
      <c r="E118" s="142"/>
      <c r="F118" s="142"/>
      <c r="G118" s="142"/>
      <c r="H118" s="142"/>
      <c r="I118" s="142"/>
      <c r="J118" s="142"/>
      <c r="K118" s="142"/>
      <c r="L118" s="142"/>
      <c r="M118" s="142"/>
      <c r="N118" s="143"/>
      <c r="O118" s="86"/>
    </row>
    <row r="119" spans="1:15" ht="29.25" customHeight="1">
      <c r="A119" s="105" t="s">
        <v>95</v>
      </c>
      <c r="B119" s="167"/>
      <c r="C119" s="168"/>
      <c r="D119" s="181" t="s">
        <v>976</v>
      </c>
      <c r="E119" s="182"/>
      <c r="F119" s="182"/>
      <c r="G119" s="182"/>
      <c r="H119" s="182"/>
      <c r="I119" s="182"/>
      <c r="J119" s="182"/>
      <c r="K119" s="182"/>
      <c r="L119" s="182"/>
      <c r="M119" s="182"/>
      <c r="N119" s="183"/>
      <c r="O119" s="86"/>
    </row>
    <row r="120" spans="1:15" ht="50.25" customHeight="1">
      <c r="A120" s="102" t="s">
        <v>97</v>
      </c>
      <c r="B120" s="142"/>
      <c r="C120" s="143"/>
      <c r="D120" s="146" t="s">
        <v>977</v>
      </c>
      <c r="E120" s="142"/>
      <c r="F120" s="142"/>
      <c r="G120" s="142"/>
      <c r="H120" s="142"/>
      <c r="I120" s="142"/>
      <c r="J120" s="142"/>
      <c r="K120" s="142"/>
      <c r="L120" s="142"/>
      <c r="M120" s="142"/>
      <c r="N120" s="143"/>
      <c r="O120" s="86"/>
    </row>
    <row r="121" spans="1:15">
      <c r="A121" s="103" t="s">
        <v>99</v>
      </c>
      <c r="B121" s="147"/>
      <c r="C121" s="103" t="s">
        <v>100</v>
      </c>
      <c r="D121" s="147"/>
      <c r="E121" s="103" t="s">
        <v>101</v>
      </c>
      <c r="F121" s="147"/>
      <c r="G121" s="103" t="s">
        <v>102</v>
      </c>
      <c r="H121" s="147"/>
      <c r="I121" s="103" t="s">
        <v>103</v>
      </c>
      <c r="J121" s="147"/>
      <c r="K121" s="103" t="s">
        <v>104</v>
      </c>
      <c r="L121" s="147"/>
      <c r="M121" s="61" t="s">
        <v>105</v>
      </c>
      <c r="N121" s="61" t="s">
        <v>106</v>
      </c>
      <c r="O121" s="86"/>
    </row>
    <row r="122" spans="1:15" ht="141" customHeight="1">
      <c r="A122" s="192" t="s">
        <v>2</v>
      </c>
      <c r="B122" s="149"/>
      <c r="C122" s="193" t="s">
        <v>978</v>
      </c>
      <c r="D122" s="149"/>
      <c r="E122" s="194" t="s">
        <v>109</v>
      </c>
      <c r="F122" s="149"/>
      <c r="G122" s="194" t="s">
        <v>193</v>
      </c>
      <c r="H122" s="149"/>
      <c r="I122" s="193" t="s">
        <v>979</v>
      </c>
      <c r="J122" s="149"/>
      <c r="K122" s="193" t="s">
        <v>980</v>
      </c>
      <c r="L122" s="149"/>
      <c r="M122" s="195"/>
      <c r="N122" s="196" t="s">
        <v>981</v>
      </c>
      <c r="O122" s="86"/>
    </row>
    <row r="123" spans="1:1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</row>
    <row r="124" spans="1:15">
      <c r="A124" s="106" t="s">
        <v>85</v>
      </c>
      <c r="B124" s="160"/>
      <c r="C124" s="161"/>
      <c r="D124" s="141" t="str">
        <f>$A$1</f>
        <v>Seguridad</v>
      </c>
      <c r="E124" s="142"/>
      <c r="F124" s="142"/>
      <c r="G124" s="142"/>
      <c r="H124" s="142"/>
      <c r="I124" s="142"/>
      <c r="J124" s="142"/>
      <c r="K124" s="142"/>
      <c r="L124" s="142"/>
      <c r="M124" s="142"/>
      <c r="N124" s="143"/>
      <c r="O124" s="86"/>
    </row>
    <row r="125" spans="1:15" ht="30.75" customHeight="1">
      <c r="A125" s="107" t="s">
        <v>86</v>
      </c>
      <c r="B125" s="140"/>
      <c r="C125" s="163"/>
      <c r="D125" s="141" t="str">
        <f>Seguridad!A7</f>
        <v>Se requiere que la aplicación cierre automáticamente la sesión del usuario tras un período determinado de inactividad, con el fin de evitar accesos no autorizados por descuido o abandono de sesión.</v>
      </c>
      <c r="E125" s="142"/>
      <c r="F125" s="142"/>
      <c r="G125" s="142"/>
      <c r="H125" s="142"/>
      <c r="I125" s="142"/>
      <c r="J125" s="142"/>
      <c r="K125" s="142"/>
      <c r="L125" s="142"/>
      <c r="M125" s="142"/>
      <c r="N125" s="143"/>
      <c r="O125" s="86"/>
    </row>
    <row r="126" spans="1:15">
      <c r="A126" s="104" t="s">
        <v>87</v>
      </c>
      <c r="B126" s="144"/>
      <c r="C126" s="166"/>
      <c r="D126" s="141" t="s">
        <v>982</v>
      </c>
      <c r="E126" s="142"/>
      <c r="F126" s="142"/>
      <c r="G126" s="142"/>
      <c r="H126" s="142"/>
      <c r="I126" s="142"/>
      <c r="J126" s="142"/>
      <c r="K126" s="142"/>
      <c r="L126" s="142"/>
      <c r="M126" s="142"/>
      <c r="N126" s="143"/>
      <c r="O126" s="86"/>
    </row>
    <row r="127" spans="1:15">
      <c r="A127" s="104" t="s">
        <v>89</v>
      </c>
      <c r="B127" s="144"/>
      <c r="C127" s="166"/>
      <c r="D127" s="141" t="s">
        <v>983</v>
      </c>
      <c r="E127" s="142"/>
      <c r="F127" s="142"/>
      <c r="G127" s="142"/>
      <c r="H127" s="142"/>
      <c r="I127" s="142"/>
      <c r="J127" s="142"/>
      <c r="K127" s="142"/>
      <c r="L127" s="142"/>
      <c r="M127" s="142"/>
      <c r="N127" s="143"/>
      <c r="O127" s="86"/>
    </row>
    <row r="128" spans="1:15">
      <c r="A128" s="104" t="s">
        <v>91</v>
      </c>
      <c r="B128" s="144"/>
      <c r="C128" s="166"/>
      <c r="D128" s="141" t="s">
        <v>92</v>
      </c>
      <c r="E128" s="142"/>
      <c r="F128" s="142"/>
      <c r="G128" s="142"/>
      <c r="H128" s="142"/>
      <c r="I128" s="142"/>
      <c r="J128" s="142"/>
      <c r="K128" s="142"/>
      <c r="L128" s="142"/>
      <c r="M128" s="142"/>
      <c r="N128" s="143"/>
      <c r="O128" s="86"/>
    </row>
    <row r="129" spans="1:15" ht="15" customHeight="1">
      <c r="A129" s="104" t="s">
        <v>93</v>
      </c>
      <c r="B129" s="144"/>
      <c r="C129" s="166"/>
      <c r="D129" s="141" t="s">
        <v>984</v>
      </c>
      <c r="E129" s="142"/>
      <c r="F129" s="142"/>
      <c r="G129" s="142"/>
      <c r="H129" s="142"/>
      <c r="I129" s="142"/>
      <c r="J129" s="142"/>
      <c r="K129" s="142"/>
      <c r="L129" s="142"/>
      <c r="M129" s="142"/>
      <c r="N129" s="143"/>
      <c r="O129" s="86"/>
    </row>
    <row r="130" spans="1:15" ht="27.75" customHeight="1">
      <c r="A130" s="105" t="s">
        <v>95</v>
      </c>
      <c r="B130" s="167"/>
      <c r="C130" s="168"/>
      <c r="D130" s="169" t="s">
        <v>985</v>
      </c>
      <c r="E130" s="170"/>
      <c r="F130" s="170"/>
      <c r="G130" s="170"/>
      <c r="H130" s="170"/>
      <c r="I130" s="170"/>
      <c r="J130" s="170"/>
      <c r="K130" s="170"/>
      <c r="L130" s="170"/>
      <c r="M130" s="170"/>
      <c r="N130" s="171"/>
      <c r="O130" s="86"/>
    </row>
    <row r="131" spans="1:15" ht="30.75" customHeight="1">
      <c r="A131" s="102" t="s">
        <v>97</v>
      </c>
      <c r="B131" s="142"/>
      <c r="C131" s="143"/>
      <c r="D131" s="146" t="s">
        <v>986</v>
      </c>
      <c r="E131" s="142"/>
      <c r="F131" s="142"/>
      <c r="G131" s="142"/>
      <c r="H131" s="142"/>
      <c r="I131" s="142"/>
      <c r="J131" s="142"/>
      <c r="K131" s="142"/>
      <c r="L131" s="142"/>
      <c r="M131" s="142"/>
      <c r="N131" s="143"/>
      <c r="O131" s="86"/>
    </row>
    <row r="132" spans="1:15">
      <c r="A132" s="128" t="s">
        <v>99</v>
      </c>
      <c r="B132" s="198"/>
      <c r="C132" s="128" t="s">
        <v>100</v>
      </c>
      <c r="D132" s="198"/>
      <c r="E132" s="128" t="s">
        <v>101</v>
      </c>
      <c r="F132" s="198"/>
      <c r="G132" s="128" t="s">
        <v>102</v>
      </c>
      <c r="H132" s="198"/>
      <c r="I132" s="103" t="s">
        <v>103</v>
      </c>
      <c r="J132" s="147"/>
      <c r="K132" s="103" t="s">
        <v>104</v>
      </c>
      <c r="L132" s="147"/>
      <c r="M132" s="61" t="s">
        <v>105</v>
      </c>
      <c r="N132" s="61" t="s">
        <v>106</v>
      </c>
      <c r="O132" s="86"/>
    </row>
    <row r="133" spans="1:15" ht="87" customHeight="1">
      <c r="A133" s="156" t="s">
        <v>193</v>
      </c>
      <c r="B133" s="157"/>
      <c r="C133" s="158" t="s">
        <v>987</v>
      </c>
      <c r="D133" s="157"/>
      <c r="E133" s="159" t="s">
        <v>109</v>
      </c>
      <c r="F133" s="157"/>
      <c r="G133" s="159" t="s">
        <v>193</v>
      </c>
      <c r="H133" s="157"/>
      <c r="I133" s="193" t="s">
        <v>988</v>
      </c>
      <c r="J133" s="149"/>
      <c r="K133" s="193" t="s">
        <v>989</v>
      </c>
      <c r="L133" s="149"/>
      <c r="M133" s="197"/>
      <c r="N133" s="196" t="s">
        <v>990</v>
      </c>
      <c r="O133" s="86"/>
    </row>
    <row r="134" spans="1:1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</row>
    <row r="135" spans="1:1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</row>
    <row r="136" spans="1:15" ht="30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</row>
    <row r="137" spans="1:1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</row>
    <row r="138" spans="1:15" ht="1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</row>
    <row r="139" spans="1:15" ht="14.4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</row>
    <row r="140" spans="1:15" ht="14.4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</row>
    <row r="141" spans="1:15" ht="24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</row>
    <row r="142" spans="1:15" ht="57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</row>
    <row r="143" spans="1:15" ht="14.4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</row>
    <row r="144" spans="1:15" ht="66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</row>
    <row r="145" spans="1:15" ht="14.4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</row>
    <row r="146" spans="1:15" ht="14.4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</row>
    <row r="147" spans="1:15" ht="15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</row>
    <row r="148" spans="1:15" ht="15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</row>
    <row r="149" spans="1:15" ht="19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</row>
    <row r="150" spans="1:15" ht="14.4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</row>
    <row r="151" spans="1:15" ht="14.4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</row>
    <row r="152" spans="1:15" ht="14.4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</row>
    <row r="153" spans="1:15" ht="33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</row>
    <row r="154" spans="1:15" ht="4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</row>
    <row r="155" spans="1:15" ht="14.4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</row>
    <row r="156" spans="1:15" ht="67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</row>
    <row r="157" spans="1:1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</row>
    <row r="158" spans="1:15" ht="27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</row>
    <row r="159" spans="1:15" ht="27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</row>
    <row r="160" spans="1:15" ht="21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</row>
    <row r="161" spans="1:15" ht="1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</row>
    <row r="162" spans="1:1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</row>
    <row r="163" spans="1:15" ht="1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</row>
    <row r="164" spans="1:15" ht="48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</row>
    <row r="165" spans="1:15" ht="36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</row>
    <row r="166" spans="1:1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</row>
    <row r="167" spans="1:15" ht="74.2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</row>
    <row r="168" spans="1:1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</row>
    <row r="169" spans="1:1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</row>
    <row r="170" spans="1:1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</row>
    <row r="171" spans="1:1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</row>
    <row r="172" spans="1:1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</row>
    <row r="173" spans="1:1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</row>
    <row r="174" spans="1:1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</row>
    <row r="175" spans="1:1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</row>
    <row r="176" spans="1:1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</row>
    <row r="177" spans="1:15" ht="98.2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</row>
    <row r="178" spans="1:1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</row>
    <row r="179" spans="1:1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</row>
    <row r="180" spans="1:1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</row>
    <row r="181" spans="1:1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</row>
    <row r="182" spans="1:1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</row>
    <row r="183" spans="1:1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</row>
    <row r="184" spans="1:1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</row>
    <row r="185" spans="1:15" ht="94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</row>
    <row r="186" spans="1:1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</row>
    <row r="187" spans="1:1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</row>
    <row r="188" spans="1:1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</row>
    <row r="189" spans="1:15" ht="1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</row>
    <row r="190" spans="1:15" ht="1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</row>
    <row r="191" spans="1:15" ht="1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</row>
    <row r="192" spans="1:15" ht="1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</row>
    <row r="193" spans="1:15" ht="61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</row>
    <row r="194" spans="1:1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</row>
    <row r="195" spans="1:1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</row>
    <row r="196" spans="1:1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</row>
    <row r="197" spans="1:1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</row>
    <row r="198" spans="1:1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</row>
    <row r="199" spans="1:1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</row>
    <row r="200" spans="1:1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</row>
    <row r="201" spans="1:1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</row>
    <row r="202" spans="1:15" ht="66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</row>
    <row r="203" spans="1:1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</row>
    <row r="204" spans="1:1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</row>
    <row r="205" spans="1:1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</row>
    <row r="206" spans="1:1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</row>
    <row r="207" spans="1:1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</row>
    <row r="208" spans="1:1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</row>
    <row r="209" spans="1:1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</row>
    <row r="210" spans="1:1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</row>
    <row r="211" spans="1:1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</row>
    <row r="212" spans="1:1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</row>
    <row r="213" spans="1:1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</row>
    <row r="214" spans="1:1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</row>
    <row r="215" spans="1: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</row>
    <row r="216" spans="1:1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</row>
    <row r="217" spans="1:1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</row>
    <row r="218" spans="1:1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</row>
    <row r="219" spans="1:1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</row>
    <row r="220" spans="1:1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</row>
    <row r="221" spans="1:1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</row>
    <row r="222" spans="1:1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</row>
    <row r="223" spans="1:1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</row>
    <row r="224" spans="1:1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</row>
    <row r="225" spans="1:1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</row>
    <row r="226" spans="1:1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</row>
    <row r="227" spans="1:1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</row>
    <row r="228" spans="1:1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</row>
    <row r="229" spans="1:1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</row>
    <row r="230" spans="1:1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</row>
    <row r="231" spans="1:1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</row>
    <row r="232" spans="1:1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</row>
    <row r="233" spans="1:1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</row>
    <row r="234" spans="1:1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</row>
    <row r="235" spans="1:1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</row>
    <row r="236" spans="1:1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</row>
    <row r="237" spans="1:1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</row>
    <row r="238" spans="1:1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</row>
    <row r="239" spans="1:1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</row>
    <row r="240" spans="1:1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</row>
    <row r="241" spans="1:1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</row>
    <row r="242" spans="1:1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</row>
    <row r="243" spans="1:1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</row>
    <row r="244" spans="1:1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</row>
    <row r="245" spans="1:1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</row>
    <row r="246" spans="1:1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</row>
    <row r="247" spans="1:1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</row>
    <row r="248" spans="1:1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</row>
    <row r="249" spans="1:1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</row>
    <row r="250" spans="1:1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</row>
    <row r="251" spans="1:1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</row>
    <row r="252" spans="1:1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</row>
    <row r="253" spans="1:1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</row>
    <row r="254" spans="1:1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</row>
    <row r="255" spans="1:1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</row>
    <row r="256" spans="1:1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</row>
    <row r="257" spans="1:1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</row>
    <row r="258" spans="1:1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</row>
    <row r="259" spans="1:1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</row>
    <row r="260" spans="1:1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</row>
    <row r="261" spans="1:1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</row>
  </sheetData>
  <mergeCells count="336">
    <mergeCell ref="D36:N36"/>
    <mergeCell ref="A14:C14"/>
    <mergeCell ref="A25:C25"/>
    <mergeCell ref="A37:C37"/>
    <mergeCell ref="D21:N21"/>
    <mergeCell ref="K33:L33"/>
    <mergeCell ref="A21:C21"/>
    <mergeCell ref="A33:B33"/>
    <mergeCell ref="D7:N7"/>
    <mergeCell ref="A29:C29"/>
    <mergeCell ref="A31:C31"/>
    <mergeCell ref="D15:N15"/>
    <mergeCell ref="A34:B34"/>
    <mergeCell ref="C34:D34"/>
    <mergeCell ref="G11:H11"/>
    <mergeCell ref="I11:J11"/>
    <mergeCell ref="D10:N10"/>
    <mergeCell ref="A9:C9"/>
    <mergeCell ref="D8:N8"/>
    <mergeCell ref="A7:C7"/>
    <mergeCell ref="A8:C8"/>
    <mergeCell ref="A10:C10"/>
    <mergeCell ref="A26:C26"/>
    <mergeCell ref="D31:N31"/>
    <mergeCell ref="D26:N26"/>
    <mergeCell ref="C11:D11"/>
    <mergeCell ref="E11:F11"/>
    <mergeCell ref="D28:N28"/>
    <mergeCell ref="D3:N3"/>
    <mergeCell ref="D30:N30"/>
    <mergeCell ref="D5:N5"/>
    <mergeCell ref="D29:N29"/>
    <mergeCell ref="I12:J12"/>
    <mergeCell ref="K12:L12"/>
    <mergeCell ref="D16:N16"/>
    <mergeCell ref="D18:N18"/>
    <mergeCell ref="A4:C4"/>
    <mergeCell ref="D4:N4"/>
    <mergeCell ref="D6:N6"/>
    <mergeCell ref="A6:C6"/>
    <mergeCell ref="A45:B45"/>
    <mergeCell ref="D19:N19"/>
    <mergeCell ref="C45:D45"/>
    <mergeCell ref="A3:C3"/>
    <mergeCell ref="A5:C5"/>
    <mergeCell ref="A32:C32"/>
    <mergeCell ref="G33:H33"/>
    <mergeCell ref="I33:J33"/>
    <mergeCell ref="D37:N37"/>
    <mergeCell ref="D9:N9"/>
    <mergeCell ref="D38:N38"/>
    <mergeCell ref="A16:C16"/>
    <mergeCell ref="A18:C18"/>
    <mergeCell ref="D27:N27"/>
    <mergeCell ref="I23:J23"/>
    <mergeCell ref="K23:L23"/>
    <mergeCell ref="A23:B23"/>
    <mergeCell ref="C23:D23"/>
    <mergeCell ref="I34:J34"/>
    <mergeCell ref="K34:L34"/>
    <mergeCell ref="D40:N40"/>
    <mergeCell ref="A17:C17"/>
    <mergeCell ref="D41:N41"/>
    <mergeCell ref="A19:C19"/>
    <mergeCell ref="A43:C43"/>
    <mergeCell ref="I44:J44"/>
    <mergeCell ref="E12:F12"/>
    <mergeCell ref="G12:H12"/>
    <mergeCell ref="A38:C38"/>
    <mergeCell ref="A40:C40"/>
    <mergeCell ref="A15:C15"/>
    <mergeCell ref="E44:F44"/>
    <mergeCell ref="A20:C20"/>
    <mergeCell ref="A12:B12"/>
    <mergeCell ref="C12:D12"/>
    <mergeCell ref="D25:N25"/>
    <mergeCell ref="D39:N39"/>
    <mergeCell ref="I22:J22"/>
    <mergeCell ref="D32:N32"/>
    <mergeCell ref="K22:L22"/>
    <mergeCell ref="A42:C42"/>
    <mergeCell ref="K44:L44"/>
    <mergeCell ref="C44:D44"/>
    <mergeCell ref="D43:N43"/>
    <mergeCell ref="A44:B44"/>
    <mergeCell ref="D42:N42"/>
    <mergeCell ref="E22:F22"/>
    <mergeCell ref="G22:H22"/>
    <mergeCell ref="E45:F45"/>
    <mergeCell ref="G45:H45"/>
    <mergeCell ref="A39:C39"/>
    <mergeCell ref="I45:J45"/>
    <mergeCell ref="K45:L45"/>
    <mergeCell ref="K11:L11"/>
    <mergeCell ref="C22:D22"/>
    <mergeCell ref="D17:N17"/>
    <mergeCell ref="A28:C28"/>
    <mergeCell ref="A30:C30"/>
    <mergeCell ref="D14:N14"/>
    <mergeCell ref="A41:C41"/>
    <mergeCell ref="C33:D33"/>
    <mergeCell ref="E33:F33"/>
    <mergeCell ref="A27:C27"/>
    <mergeCell ref="A36:C36"/>
    <mergeCell ref="D20:N20"/>
    <mergeCell ref="E23:F23"/>
    <mergeCell ref="G23:H23"/>
    <mergeCell ref="E34:F34"/>
    <mergeCell ref="G34:H34"/>
    <mergeCell ref="A22:B22"/>
    <mergeCell ref="G44:H44"/>
    <mergeCell ref="A11:B11"/>
    <mergeCell ref="A47:C47"/>
    <mergeCell ref="D47:N47"/>
    <mergeCell ref="A48:C48"/>
    <mergeCell ref="D48:N48"/>
    <mergeCell ref="A49:C49"/>
    <mergeCell ref="D49:N49"/>
    <mergeCell ref="A50:C50"/>
    <mergeCell ref="D50:N50"/>
    <mergeCell ref="A51:C51"/>
    <mergeCell ref="D51:N51"/>
    <mergeCell ref="A52:C52"/>
    <mergeCell ref="D52:N52"/>
    <mergeCell ref="A53:C53"/>
    <mergeCell ref="D53:N53"/>
    <mergeCell ref="A54:C54"/>
    <mergeCell ref="D54:N54"/>
    <mergeCell ref="A55:B55"/>
    <mergeCell ref="C55:D55"/>
    <mergeCell ref="E55:F55"/>
    <mergeCell ref="G55:H55"/>
    <mergeCell ref="I55:J55"/>
    <mergeCell ref="K55:L55"/>
    <mergeCell ref="A56:B56"/>
    <mergeCell ref="C56:D56"/>
    <mergeCell ref="E56:F56"/>
    <mergeCell ref="G56:H56"/>
    <mergeCell ref="I56:J56"/>
    <mergeCell ref="K56:L56"/>
    <mergeCell ref="A58:C58"/>
    <mergeCell ref="D58:N58"/>
    <mergeCell ref="A59:C59"/>
    <mergeCell ref="D59:N59"/>
    <mergeCell ref="A60:C60"/>
    <mergeCell ref="D60:N60"/>
    <mergeCell ref="A61:C61"/>
    <mergeCell ref="D61:N61"/>
    <mergeCell ref="A62:C62"/>
    <mergeCell ref="D62:N62"/>
    <mergeCell ref="A63:C63"/>
    <mergeCell ref="D63:N63"/>
    <mergeCell ref="A64:C64"/>
    <mergeCell ref="D64:N64"/>
    <mergeCell ref="A65:C65"/>
    <mergeCell ref="D65:N65"/>
    <mergeCell ref="A66:B66"/>
    <mergeCell ref="C66:D66"/>
    <mergeCell ref="E66:F66"/>
    <mergeCell ref="G66:H66"/>
    <mergeCell ref="I66:J66"/>
    <mergeCell ref="K66:L66"/>
    <mergeCell ref="A67:B67"/>
    <mergeCell ref="C67:D67"/>
    <mergeCell ref="E67:F67"/>
    <mergeCell ref="G67:H67"/>
    <mergeCell ref="I67:J67"/>
    <mergeCell ref="K67:L67"/>
    <mergeCell ref="A69:C69"/>
    <mergeCell ref="D69:N69"/>
    <mergeCell ref="A70:C70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C75"/>
    <mergeCell ref="D75:N75"/>
    <mergeCell ref="A76:C76"/>
    <mergeCell ref="D76:N76"/>
    <mergeCell ref="A77:B77"/>
    <mergeCell ref="C77:D77"/>
    <mergeCell ref="E77:F77"/>
    <mergeCell ref="G77:H77"/>
    <mergeCell ref="I77:J77"/>
    <mergeCell ref="K77:L77"/>
    <mergeCell ref="A78:B78"/>
    <mergeCell ref="C78:D78"/>
    <mergeCell ref="E78:F78"/>
    <mergeCell ref="G78:H78"/>
    <mergeCell ref="I78:J78"/>
    <mergeCell ref="K78:L78"/>
    <mergeCell ref="A80:C80"/>
    <mergeCell ref="D80:N80"/>
    <mergeCell ref="A81:C81"/>
    <mergeCell ref="D81:N81"/>
    <mergeCell ref="A82:C82"/>
    <mergeCell ref="D82:N82"/>
    <mergeCell ref="A83:C83"/>
    <mergeCell ref="D83:N83"/>
    <mergeCell ref="A84:C84"/>
    <mergeCell ref="D84:N84"/>
    <mergeCell ref="A85:C85"/>
    <mergeCell ref="D85:N85"/>
    <mergeCell ref="A86:C86"/>
    <mergeCell ref="D86:N86"/>
    <mergeCell ref="A87:C87"/>
    <mergeCell ref="D87:N87"/>
    <mergeCell ref="A88:B88"/>
    <mergeCell ref="C88:D88"/>
    <mergeCell ref="E88:F88"/>
    <mergeCell ref="G88:H88"/>
    <mergeCell ref="I88:J88"/>
    <mergeCell ref="K88:L88"/>
    <mergeCell ref="A89:B89"/>
    <mergeCell ref="C89:D89"/>
    <mergeCell ref="E89:F89"/>
    <mergeCell ref="G89:H89"/>
    <mergeCell ref="I89:J89"/>
    <mergeCell ref="K89:L89"/>
    <mergeCell ref="A91:C91"/>
    <mergeCell ref="D91:N91"/>
    <mergeCell ref="A92:C92"/>
    <mergeCell ref="D92:N92"/>
    <mergeCell ref="A93:C93"/>
    <mergeCell ref="D93:N93"/>
    <mergeCell ref="A94:C94"/>
    <mergeCell ref="D94:N94"/>
    <mergeCell ref="A95:C95"/>
    <mergeCell ref="D95:N95"/>
    <mergeCell ref="A96:C96"/>
    <mergeCell ref="D96:N96"/>
    <mergeCell ref="A97:C97"/>
    <mergeCell ref="D97:N97"/>
    <mergeCell ref="A98:C98"/>
    <mergeCell ref="D98:N98"/>
    <mergeCell ref="A99:B99"/>
    <mergeCell ref="C99:D99"/>
    <mergeCell ref="E99:F99"/>
    <mergeCell ref="G99:H99"/>
    <mergeCell ref="I99:J99"/>
    <mergeCell ref="K99:L99"/>
    <mergeCell ref="A100:B100"/>
    <mergeCell ref="C100:D100"/>
    <mergeCell ref="E100:F100"/>
    <mergeCell ref="G100:H100"/>
    <mergeCell ref="I100:J100"/>
    <mergeCell ref="K100:L100"/>
    <mergeCell ref="A102:C102"/>
    <mergeCell ref="D102:N102"/>
    <mergeCell ref="A103:C103"/>
    <mergeCell ref="D103:N103"/>
    <mergeCell ref="A104:C104"/>
    <mergeCell ref="D104:N104"/>
    <mergeCell ref="A105:C105"/>
    <mergeCell ref="D105:N105"/>
    <mergeCell ref="A106:C106"/>
    <mergeCell ref="D106:N106"/>
    <mergeCell ref="A107:C107"/>
    <mergeCell ref="D107:N107"/>
    <mergeCell ref="A108:C108"/>
    <mergeCell ref="D108:N108"/>
    <mergeCell ref="A109:C109"/>
    <mergeCell ref="D109:N109"/>
    <mergeCell ref="A110:B110"/>
    <mergeCell ref="C110:D110"/>
    <mergeCell ref="E110:F110"/>
    <mergeCell ref="G110:H110"/>
    <mergeCell ref="I110:J110"/>
    <mergeCell ref="K110:L110"/>
    <mergeCell ref="A111:B111"/>
    <mergeCell ref="C111:D111"/>
    <mergeCell ref="E111:F111"/>
    <mergeCell ref="G111:H111"/>
    <mergeCell ref="I111:J111"/>
    <mergeCell ref="K111:L111"/>
    <mergeCell ref="A113:C113"/>
    <mergeCell ref="D113:N113"/>
    <mergeCell ref="A114:C114"/>
    <mergeCell ref="D114:N114"/>
    <mergeCell ref="A115:C115"/>
    <mergeCell ref="D115:N115"/>
    <mergeCell ref="A116:C116"/>
    <mergeCell ref="D116:N116"/>
    <mergeCell ref="A117:C117"/>
    <mergeCell ref="D117:N117"/>
    <mergeCell ref="A118:C118"/>
    <mergeCell ref="D118:N118"/>
    <mergeCell ref="A119:C119"/>
    <mergeCell ref="D119:N119"/>
    <mergeCell ref="A120:C120"/>
    <mergeCell ref="D120:N120"/>
    <mergeCell ref="A121:B121"/>
    <mergeCell ref="C121:D121"/>
    <mergeCell ref="E121:F121"/>
    <mergeCell ref="G121:H121"/>
    <mergeCell ref="I121:J121"/>
    <mergeCell ref="K121:L121"/>
    <mergeCell ref="A122:B122"/>
    <mergeCell ref="C122:D122"/>
    <mergeCell ref="E122:F122"/>
    <mergeCell ref="G122:H122"/>
    <mergeCell ref="I122:J122"/>
    <mergeCell ref="K122:L122"/>
    <mergeCell ref="A124:C124"/>
    <mergeCell ref="D124:N124"/>
    <mergeCell ref="A125:C125"/>
    <mergeCell ref="D125:N125"/>
    <mergeCell ref="A126:C126"/>
    <mergeCell ref="D126:N126"/>
    <mergeCell ref="A127:C127"/>
    <mergeCell ref="D127:N127"/>
    <mergeCell ref="A128:C128"/>
    <mergeCell ref="D128:N128"/>
    <mergeCell ref="A129:C129"/>
    <mergeCell ref="D129:N129"/>
    <mergeCell ref="A130:C130"/>
    <mergeCell ref="D130:N130"/>
    <mergeCell ref="A131:C131"/>
    <mergeCell ref="D131:N131"/>
    <mergeCell ref="A132:B132"/>
    <mergeCell ref="C132:D132"/>
    <mergeCell ref="E132:F132"/>
    <mergeCell ref="G132:H132"/>
    <mergeCell ref="I132:J132"/>
    <mergeCell ref="K132:L132"/>
    <mergeCell ref="A133:B133"/>
    <mergeCell ref="C133:D133"/>
    <mergeCell ref="E133:F133"/>
    <mergeCell ref="G133:H133"/>
    <mergeCell ref="I133:J133"/>
    <mergeCell ref="K133:L133"/>
  </mergeCells>
  <hyperlinks>
    <hyperlink ref="A1" location="'Seguridad'!B1" display="Seguridad" xr:uid="{00000000-0004-0000-1900-000000000000}"/>
  </hyperlinks>
  <pageMargins left="0.7" right="0.7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B0816-A19B-4013-91D8-32733F62ECDE}"/>
</file>

<file path=customXml/itemProps2.xml><?xml version="1.0" encoding="utf-8"?>
<ds:datastoreItem xmlns:ds="http://schemas.openxmlformats.org/officeDocument/2006/customXml" ds:itemID="{DDE21A2E-FE3F-4418-80B1-9DCC2EDCC1FD}"/>
</file>

<file path=customXml/itemProps3.xml><?xml version="1.0" encoding="utf-8"?>
<ds:datastoreItem xmlns:ds="http://schemas.openxmlformats.org/officeDocument/2006/customXml" ds:itemID="{48831517-D86E-443E-9F35-81F78C4F9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207</dc:creator>
  <cp:keywords/>
  <dc:description/>
  <cp:lastModifiedBy>Emmanuel Londono Gomez</cp:lastModifiedBy>
  <cp:revision/>
  <dcterms:created xsi:type="dcterms:W3CDTF">2022-02-23T01:28:13Z</dcterms:created>
  <dcterms:modified xsi:type="dcterms:W3CDTF">2026-03-10T02:57:49Z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SIP_Label_666bb131-2344-48ed-84db-fe1e84a9fae2_Enabled">
    <vt:lpwstr>true</vt:lpwstr>
  </property>
  <property fmtid="{D5CDD505-2E9C-101B-9397-08002B2CF9AE}" pid="4" name="MSIP_Label_666bb131-2344-48ed-84db-fe1e84a9fae2_SetDate">
    <vt:lpwstr>2022-03-01T23:52:54Z</vt:lpwstr>
  </property>
  <property fmtid="{D5CDD505-2E9C-101B-9397-08002B2CF9AE}" pid="5" name="MSIP_Label_666bb131-2344-48ed-84db-fe1e84a9fae2_Method">
    <vt:lpwstr>Standard</vt:lpwstr>
  </property>
  <property fmtid="{D5CDD505-2E9C-101B-9397-08002B2CF9AE}" pid="6" name="MSIP_Label_666bb131-2344-48ed-84db-fe1e84a9fae2_Name">
    <vt:lpwstr>666bb131-2344-48ed-84db-fe1e84a9fae2</vt:lpwstr>
  </property>
  <property fmtid="{D5CDD505-2E9C-101B-9397-08002B2CF9AE}" pid="7" name="MSIP_Label_666bb131-2344-48ed-84db-fe1e84a9fae2_SiteId">
    <vt:lpwstr>bf1ce8b5-5d39-4bc5-ad6e-07b3e4d7d67a</vt:lpwstr>
  </property>
  <property fmtid="{D5CDD505-2E9C-101B-9397-08002B2CF9AE}" pid="8" name="MSIP_Label_666bb131-2344-48ed-84db-fe1e84a9fae2_ActionId">
    <vt:lpwstr>ce4393ab-81fc-42aa-beca-075ae20de0ff</vt:lpwstr>
  </property>
  <property fmtid="{D5CDD505-2E9C-101B-9397-08002B2CF9AE}" pid="9" name="MSIP_Label_666bb131-2344-48ed-84db-fe1e84a9fae2_ContentBits">
    <vt:lpwstr>0</vt:lpwstr>
  </property>
  <property fmtid="{D5CDD505-2E9C-101B-9397-08002B2CF9AE}" pid="10" name="MediaServiceImageTags">
    <vt:lpwstr/>
  </property>
</Properties>
</file>