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defaultThemeVersion="166925"/>
  <mc:AlternateContent xmlns:mc="http://schemas.openxmlformats.org/markup-compatibility/2006">
    <mc:Choice Requires="x15">
      <x15ac:absPath xmlns:x15ac="http://schemas.microsoft.com/office/spreadsheetml/2010/11/ac" url="C:\Users\Luciana\Downloads\OneDrive_2024-01-30\Sesión 1\"/>
    </mc:Choice>
  </mc:AlternateContent>
  <xr:revisionPtr revIDLastSave="359" documentId="13_ncr:1_{DA4F7EDE-002B-447A-9232-E45CAE8BFCA8}" xr6:coauthVersionLast="47" xr6:coauthVersionMax="47" xr10:uidLastSave="{0E2F2564-E5DB-4004-8957-8AFF11F8831A}"/>
  <bookViews>
    <workbookView xWindow="-120" yWindow="-120" windowWidth="20640" windowHeight="11160" firstSheet="2" activeTab="15" xr2:uid="{59653BFD-5B7C-4315-9D96-3FD5833491E5}"/>
  </bookViews>
  <sheets>
    <sheet name="MER" sheetId="1" r:id="rId1"/>
    <sheet name="Entidades" sheetId="2" r:id="rId2"/>
    <sheet name="aerolinea" sheetId="3" r:id="rId3"/>
    <sheet name="Valores" sheetId="4" state="hidden" r:id="rId4"/>
    <sheet name="empleado" sheetId="5" r:id="rId5"/>
    <sheet name="motor" sheetId="6" r:id="rId6"/>
    <sheet name="fabricante" sheetId="7" r:id="rId7"/>
    <sheet name="modelo" sheetId="8" r:id="rId8"/>
    <sheet name="matricula" sheetId="9" r:id="rId9"/>
    <sheet name="aeropuerto" sheetId="10" r:id="rId10"/>
    <sheet name="ruta" sheetId="11" r:id="rId11"/>
    <sheet name="ruta aerolinea" sheetId="12" r:id="rId12"/>
    <sheet name="bitacora diaria" sheetId="13" r:id="rId13"/>
    <sheet name="detalle bitacora diaria" sheetId="14" r:id="rId14"/>
    <sheet name="Resumen vuelos del empleado" sheetId="15" r:id="rId15"/>
    <sheet name="mensajes" sheetId="16" r:id="rId16"/>
  </sheets>
  <definedNames>
    <definedName name="_xlnm._FilterDatabase" localSheetId="2" hidden="1">aerolinea!$A$5:$A$6</definedName>
    <definedName name="_xlnm._FilterDatabase" localSheetId="9" hidden="1">aeropuerto!$A$5:$A$6</definedName>
    <definedName name="_xlnm._FilterDatabase" localSheetId="12" hidden="1">'bitacora diaria'!$A$5:$A$6</definedName>
    <definedName name="_xlnm._FilterDatabase" localSheetId="13" hidden="1">'detalle bitacora diaria'!$A$5:$A$6</definedName>
    <definedName name="_xlnm._FilterDatabase" localSheetId="4" hidden="1">empleado!$A$5:$A$6</definedName>
    <definedName name="_xlnm._FilterDatabase" localSheetId="6" hidden="1">fabricante!$A$5:$A$6</definedName>
    <definedName name="_xlnm._FilterDatabase" localSheetId="8" hidden="1">matricula!$A$5:$A$6</definedName>
    <definedName name="_xlnm._FilterDatabase" localSheetId="7" hidden="1">modelo!$A$5:$A$6</definedName>
    <definedName name="_xlnm._FilterDatabase" localSheetId="5" hidden="1">motor!$A$5:$A$6</definedName>
    <definedName name="_xlnm._FilterDatabase" localSheetId="14" hidden="1">'Resumen vuelos del empleado'!$A$5:$A$6</definedName>
    <definedName name="_xlnm._FilterDatabase" localSheetId="15" hidden="1">mensajes!$A$5:$A$6</definedName>
    <definedName name="_xlnm._FilterDatabase" localSheetId="10" hidden="1">ruta!$A$5:$A$6</definedName>
    <definedName name="_xlnm._FilterDatabase" localSheetId="11" hidden="1">'ruta aerolinea'!$A$5:$A$6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6" l="1"/>
  <c r="B2" i="16"/>
  <c r="A3" i="16"/>
  <c r="A2" i="16"/>
  <c r="B3" i="15"/>
  <c r="B2" i="15"/>
  <c r="A3" i="15"/>
  <c r="A2" i="15"/>
  <c r="B3" i="14"/>
  <c r="B2" i="14"/>
  <c r="A3" i="14"/>
  <c r="A2" i="14"/>
  <c r="B3" i="13"/>
  <c r="B2" i="13"/>
  <c r="A3" i="13"/>
  <c r="A2" i="13"/>
  <c r="B3" i="12"/>
  <c r="B2" i="12"/>
  <c r="A3" i="12"/>
  <c r="A2" i="12"/>
  <c r="B3" i="11"/>
  <c r="B2" i="11"/>
  <c r="A3" i="11"/>
  <c r="A2" i="11"/>
  <c r="B3" i="10"/>
  <c r="B2" i="10"/>
  <c r="A3" i="10"/>
  <c r="A2" i="10"/>
  <c r="B3" i="9"/>
  <c r="B2" i="9"/>
  <c r="A3" i="9"/>
  <c r="A2" i="9"/>
  <c r="B3" i="8"/>
  <c r="B2" i="8"/>
  <c r="A3" i="8"/>
  <c r="A2" i="8"/>
  <c r="B3" i="7"/>
  <c r="B2" i="7"/>
  <c r="A3" i="7"/>
  <c r="A2" i="7"/>
  <c r="B3" i="6"/>
  <c r="B2" i="6"/>
  <c r="B3" i="5"/>
  <c r="B2" i="5"/>
  <c r="A3" i="6"/>
  <c r="A2" i="6"/>
  <c r="A3" i="5"/>
  <c r="A2" i="5"/>
  <c r="A3" i="3"/>
  <c r="A2" i="3"/>
  <c r="B3" i="3"/>
  <c r="B2" i="3"/>
</calcChain>
</file>

<file path=xl/sharedStrings.xml><?xml version="1.0" encoding="utf-8"?>
<sst xmlns="http://schemas.openxmlformats.org/spreadsheetml/2006/main" count="2161" uniqueCount="261">
  <si>
    <t>Entidad</t>
  </si>
  <si>
    <t>Desripción</t>
  </si>
  <si>
    <t>aerolinea</t>
  </si>
  <si>
    <t>Entidad que contiene la información de  una aerolínea. Contiene nombre, código y estado de activación.</t>
  </si>
  <si>
    <t xml:space="preserve">empleado </t>
  </si>
  <si>
    <t>Entidad que contiene la información de  un piloto . Contiene nombre, correo, número de identificación, BP, fechas de vinculación con la aerolínea, rol y estado de activación.</t>
  </si>
  <si>
    <t>motor</t>
  </si>
  <si>
    <t>Entidad que contiene la información del tipo de motor de una aeronave. Contiene identificador y nombre.</t>
  </si>
  <si>
    <t>fabricante</t>
  </si>
  <si>
    <t>Entidad que contiene la información de un fabricante de aeronaves. Contiene identificador y nombre.</t>
  </si>
  <si>
    <t>modelo</t>
  </si>
  <si>
    <t>Entidad que contiene la información de un modelo de aeronave. Incluye nombre, tipo de aeronave, familia, tipo de motor, fabricante y estado de activación.</t>
  </si>
  <si>
    <t>matricula</t>
  </si>
  <si>
    <t>Entidad que contiene la información de la matrícula de una aeronave específica. Vincula un número de cola con un modelo de aeronave y una aerolínea.</t>
  </si>
  <si>
    <t>aeropuerto</t>
  </si>
  <si>
    <t>Entidad que contiene la información de  un aeropuerto. Contiene nombre, código IATA, tipo de aeropuerto y estado de activación.</t>
  </si>
  <si>
    <t>ruta</t>
  </si>
  <si>
    <t>Entidad que contiene la información de una ruta física entre dos aeropuertos. Incluye aeropuerto de origen, aeropuerto de destino, tipo de aeropuerto y tiempo estimado de vuelo.</t>
  </si>
  <si>
    <t>ruta aerolinea</t>
  </si>
  <si>
    <t>Entidad que contiene la información de una ruta asignada a una aerolínea específica. Vincula una ruta física con una aerolínea e incluye su estado de activación.</t>
  </si>
  <si>
    <t>bitacora diaria</t>
  </si>
  <si>
    <t>Entidad que contiene la información de la bitácora diaria de un piloto. Contiene fecha, empleado asociado, página del libro y estado.</t>
  </si>
  <si>
    <t>detalle bitacora diaria</t>
  </si>
  <si>
    <t>Entidad que contiene la información de  segmento de vuelo dentro de la bitácora diaria. Es la entidad central del sistema. Incluye fecha real del vuelo, número de vuelo, ruta, matrícula, pasajeros, tiempos de bloque y aire (OUT/OFF/ON/IN), rol del piloto, cargo de tripulante, nombre del compañero de cabina, tipo de aproximación y tipo de vuelo.</t>
  </si>
  <si>
    <t>Resumen de vuelos del empleado</t>
  </si>
  <si>
    <t>Entidad que contiene la información del  resumen acumulado de horas de vuelo de un empleado. Contiene tipo de período, año, totales de tiempo de aire, tiempo de bloque, tiempo de servicio, vuelos, aterrizajes y aproximaciones de categoría.</t>
  </si>
  <si>
    <t>mensajes</t>
  </si>
  <si>
    <t>Entidad que contiene la información de un mensaje del sistema. Contiene código, tipo, categoría, módulo, título, contenido, estado de activación y fechas de creacion y actualizacion.</t>
  </si>
  <si>
    <t>&lt;-Volver al inicio</t>
  </si>
  <si>
    <t>Atributos</t>
  </si>
  <si>
    <t>Nombre</t>
  </si>
  <si>
    <t>Tipo de dato</t>
  </si>
  <si>
    <t>Longitud</t>
  </si>
  <si>
    <t>Cantidad dígitos parte entera</t>
  </si>
  <si>
    <t>Cantidad dígitos parte decimal (Precisión)</t>
  </si>
  <si>
    <t>¿Es autoincremento?</t>
  </si>
  <si>
    <t>¿Es obligatorio?</t>
  </si>
  <si>
    <t>¿Es llave primaria o es parte de ella?</t>
  </si>
  <si>
    <t>Llave Foránea</t>
  </si>
  <si>
    <t>Restricciones de unicidad</t>
  </si>
  <si>
    <t>Restricciones de chequeo</t>
  </si>
  <si>
    <t>Restricciones de índice</t>
  </si>
  <si>
    <t>Alias</t>
  </si>
  <si>
    <t>Descripción del campo</t>
  </si>
  <si>
    <t>¿Es llave foránea?</t>
  </si>
  <si>
    <t>Columna(s)</t>
  </si>
  <si>
    <t>¿Posee restricción de unicidad o es parte de ella?</t>
  </si>
  <si>
    <t>Nombre restricción unicidad a la que pertenece</t>
  </si>
  <si>
    <t>¿Posee restricción de chequeo o es parte de ella?</t>
  </si>
  <si>
    <t>Nombre restricción chequeo a la que pertenece</t>
  </si>
  <si>
    <t>¿Posee restricción de índice o es parte de ella?</t>
  </si>
  <si>
    <t>Tipo</t>
  </si>
  <si>
    <t>Nombre restricción índice a la que pertenece</t>
  </si>
  <si>
    <t>id</t>
  </si>
  <si>
    <t>VARCHAR</t>
  </si>
  <si>
    <t> </t>
  </si>
  <si>
    <t>NO</t>
  </si>
  <si>
    <t>SÍ</t>
  </si>
  <si>
    <t>PRIMARY</t>
  </si>
  <si>
    <t>Identificador único UUID de la aerolínea</t>
  </si>
  <si>
    <t>airline_name</t>
  </si>
  <si>
    <t>Nombre de la aerolínea</t>
  </si>
  <si>
    <t>airline_code</t>
  </si>
  <si>
    <t>Código IATA de la aerolínea (ej: AV, LA)</t>
  </si>
  <si>
    <t>status</t>
  </si>
  <si>
    <t>BOOLEAN</t>
  </si>
  <si>
    <t>Estado de activación de la aerolínea (true=activa, false=inactiva)</t>
  </si>
  <si>
    <t>Relación</t>
  </si>
  <si>
    <t>Tipo relación</t>
  </si>
  <si>
    <t>Estado</t>
  </si>
  <si>
    <t>TipoIndice</t>
  </si>
  <si>
    <t>Necesita de</t>
  </si>
  <si>
    <t>Asociación</t>
  </si>
  <si>
    <t>SI</t>
  </si>
  <si>
    <t>ASC</t>
  </si>
  <si>
    <t>Es usada por</t>
  </si>
  <si>
    <t>DESC</t>
  </si>
  <si>
    <t>Identificador único UUID del empleado</t>
  </si>
  <si>
    <t>name</t>
  </si>
  <si>
    <t>Nombre completo del empleado</t>
  </si>
  <si>
    <t>airline</t>
  </si>
  <si>
    <t>uq_ident_airline_bp</t>
  </si>
  <si>
    <t>UNIQUE</t>
  </si>
  <si>
    <t>Referencia a la aerolínea a la que pertenece el empleado</t>
  </si>
  <si>
    <t>email</t>
  </si>
  <si>
    <t>uq_email</t>
  </si>
  <si>
    <t>Correo electrónico del empleado (único en el sistema)</t>
  </si>
  <si>
    <t>identification_number</t>
  </si>
  <si>
    <t>Número de identificación del empleado (cédula)</t>
  </si>
  <si>
    <t>bp</t>
  </si>
  <si>
    <t>Número de BP ( identificación interna) del empleado</t>
  </si>
  <si>
    <t>start_date</t>
  </si>
  <si>
    <t>DATE</t>
  </si>
  <si>
    <t>Fecha de inicio de vinculación con la aerolínea</t>
  </si>
  <si>
    <t>end_date</t>
  </si>
  <si>
    <t>Fecha de fin de vinculación con la aerolínea</t>
  </si>
  <si>
    <t>active</t>
  </si>
  <si>
    <t>Estado de activación del empleado (true=activo, false=inactivo)</t>
  </si>
  <si>
    <t>role</t>
  </si>
  <si>
    <t>Rol del empleado en el sistema (admin, pilot)</t>
  </si>
  <si>
    <t>keycloak_user_id</t>
  </si>
  <si>
    <t>Identificador del usuario en Keycloak (sistema de autenticación)</t>
  </si>
  <si>
    <t>Identificador único UUID del tipo de motor</t>
  </si>
  <si>
    <t>Nombre o código del tipo de motor (ej: CFM, IAE)</t>
  </si>
  <si>
    <t>Identificador único UUID del fabricante</t>
  </si>
  <si>
    <t>Nombre del fabricante de aeronaves (ej: Boeing, Airbus)</t>
  </si>
  <si>
    <t>Identificador único UUID del modelo de aeronave</t>
  </si>
  <si>
    <t>model_name</t>
  </si>
  <si>
    <t>Nombre corto del modelo (ej: B737, A320)</t>
  </si>
  <si>
    <t>aircraft_type_name</t>
  </si>
  <si>
    <t>Nombre completo del tipo de aeronave</t>
  </si>
  <si>
    <t>engine_type_id</t>
  </si>
  <si>
    <t>engine</t>
  </si>
  <si>
    <t>Referencia al tipo de motor de la aeronave</t>
  </si>
  <si>
    <t>family</t>
  </si>
  <si>
    <t>Familia de la aeronave (ej: 737, A320)</t>
  </si>
  <si>
    <t>manufacturer_id</t>
  </si>
  <si>
    <t>manufacturer</t>
  </si>
  <si>
    <t>Referencia al fabricante de la aeronave</t>
  </si>
  <si>
    <t>Estado de activación del modelo (true=activo, false=inactivo)</t>
  </si>
  <si>
    <t>Identificador único UUID del registro de matrícula</t>
  </si>
  <si>
    <t>tail_number</t>
  </si>
  <si>
    <t>uq_tail_number</t>
  </si>
  <si>
    <t>Número de cola/matrícula de la aeronave (ej: HK-4XXX)</t>
  </si>
  <si>
    <t>aircraft_model_id</t>
  </si>
  <si>
    <t>aircraft_model</t>
  </si>
  <si>
    <t>Referencia al modelo de aeronave</t>
  </si>
  <si>
    <t>airline_id</t>
  </si>
  <si>
    <t>Referencia a la aerolínea propietaria</t>
  </si>
  <si>
    <t>Identificador único UUID del aeropuerto</t>
  </si>
  <si>
    <t>Nombre completo del aeropuerto</t>
  </si>
  <si>
    <t>iata_code</t>
  </si>
  <si>
    <t>Código IATA del aeropuerto (ej: BOG, CLO, MDE)</t>
  </si>
  <si>
    <t>Estado de activación del aeropuerto (true=activo, false=inactivo)</t>
  </si>
  <si>
    <t>airport_type</t>
  </si>
  <si>
    <t>Tipo de aeropuerto (ej: internacional, nacional)</t>
  </si>
  <si>
    <t>Identificador único UUID de la ruta</t>
  </si>
  <si>
    <t>origin_airport_id</t>
  </si>
  <si>
    <t>airport</t>
  </si>
  <si>
    <t>uq_route_origin_destination</t>
  </si>
  <si>
    <t>Referencia al aeropuerto de origen</t>
  </si>
  <si>
    <t>destination_airport_id</t>
  </si>
  <si>
    <t>Referencia al aeropuerto de destino</t>
  </si>
  <si>
    <t>Tipo de operación de la ruta</t>
  </si>
  <si>
    <t>estimated_flight_time</t>
  </si>
  <si>
    <t>TIME</t>
  </si>
  <si>
    <t>Tiempo estimado de vuelo en formato HH:MM:SS</t>
  </si>
  <si>
    <t>Identificador único UUID de la ruta de aerolínea</t>
  </si>
  <si>
    <t>route_id</t>
  </si>
  <si>
    <t>route</t>
  </si>
  <si>
    <t>Referencia a la ruta física</t>
  </si>
  <si>
    <t>Referencia a la aerolínea</t>
  </si>
  <si>
    <t>Estado de la ruta (active/inactive)</t>
  </si>
  <si>
    <t>Identificador único UUID de la bitácora diaria</t>
  </si>
  <si>
    <t>log_date</t>
  </si>
  <si>
    <t>Fecha de la bitácora</t>
  </si>
  <si>
    <t>employee_id</t>
  </si>
  <si>
    <t>employee</t>
  </si>
  <si>
    <t>Referencia al empleado dueño de la bitácora</t>
  </si>
  <si>
    <t>book_page</t>
  </si>
  <si>
    <t>BIGINT</t>
  </si>
  <si>
    <t>Número de página del libro físico de vuelo</t>
  </si>
  <si>
    <t>Estado de la bitácora (active/inactive)</t>
  </si>
  <si>
    <t>Identificador único UUID del detalle de vuelo</t>
  </si>
  <si>
    <t>daily_logbook_id</t>
  </si>
  <si>
    <t>daily_logbook</t>
  </si>
  <si>
    <t>Referencia a la bitácora diaria padre</t>
  </si>
  <si>
    <t>flight_real_date</t>
  </si>
  <si>
    <t>Fecha real en la que se realizó el vuelo</t>
  </si>
  <si>
    <t>flight_number</t>
  </si>
  <si>
    <t>Número del vuelo (ej: AV9741)</t>
  </si>
  <si>
    <t>airline_route_id</t>
  </si>
  <si>
    <t>airline_route</t>
  </si>
  <si>
    <t>Referencia a la ruta de aerolínea</t>
  </si>
  <si>
    <t>actual_tail_number_id</t>
  </si>
  <si>
    <t>Referencia a la matrícula de la aeronave utilizada</t>
  </si>
  <si>
    <t>passengers</t>
  </si>
  <si>
    <t>INT</t>
  </si>
  <si>
    <t>Cantidad de pasajeros en el vuelo</t>
  </si>
  <si>
    <t>out_time</t>
  </si>
  <si>
    <t>Hora de salida de bloque (OUT) — inicio del taxeo</t>
  </si>
  <si>
    <t>takeoff_time</t>
  </si>
  <si>
    <t>Hora de despegue (OFF)</t>
  </si>
  <si>
    <t>landing_time</t>
  </si>
  <si>
    <t>Hora de aterrizaje (ON)</t>
  </si>
  <si>
    <t>in_time</t>
  </si>
  <si>
    <t>Hora de llegada a bloque (IN) — fin del taxeo</t>
  </si>
  <si>
    <t>pilot_role</t>
  </si>
  <si>
    <t>ENUM</t>
  </si>
  <si>
    <t>PF, PM, PFTO, PFL</t>
  </si>
  <si>
    <t>Rol del piloto en el vuelo: PF (Pilot Flying), PM (Pilot Monitoring), PFTO (Pilot Flying Take-Off), PFL (Pilot Flying Landing)</t>
  </si>
  <si>
    <t>companion_name</t>
  </si>
  <si>
    <t>Nombre del compañero de cabina (capitán o primer oficial)</t>
  </si>
  <si>
    <t>crew_role</t>
  </si>
  <si>
    <t>CAPTAIN, FIRST OFFICER</t>
  </si>
  <si>
    <t>Cargo del tripulante: captain (capitán) o first officer (primer oficial)</t>
  </si>
  <si>
    <t>air_time</t>
  </si>
  <si>
    <t>Tiempo de vuelo calculado (landing_time - takeoff_time)</t>
  </si>
  <si>
    <t>block_time</t>
  </si>
  <si>
    <t>Tiempo de bloque calculado (in_time - out_time)</t>
  </si>
  <si>
    <t>approach_type</t>
  </si>
  <si>
    <t>APV, VISUAL</t>
  </si>
  <si>
    <t>Tipo de aproximación: APV (con guía vertical) o VISUAL</t>
  </si>
  <si>
    <t>flight_type</t>
  </si>
  <si>
    <t>Tipo de vuelo: COMMERCIAL, TRAINING, FERRY, CHECK, POSITIONING</t>
  </si>
  <si>
    <t>employee_logbook_id</t>
  </si>
  <si>
    <t>Referencia al empleado principal asociado al vuelo</t>
  </si>
  <si>
    <t>Identificador único UUID del resumen</t>
  </si>
  <si>
    <t>uq_employee_period</t>
  </si>
  <si>
    <t>Referencia al empleado</t>
  </si>
  <si>
    <t>period_type</t>
  </si>
  <si>
    <t>Tipo de período: MONTHLY, QUARTERLY, ANNUAL, PERIOD_1_15, PERIOD_16_31</t>
  </si>
  <si>
    <t>period_year</t>
  </si>
  <si>
    <t>Año del período (ej: 2025, 2026)</t>
  </si>
  <si>
    <t>period_number</t>
  </si>
  <si>
    <t>Número del período según tipo (Mes: 1-12, Trimestre: 1-4, Año: 1, Quincena: 1-24)</t>
  </si>
  <si>
    <t>period_start</t>
  </si>
  <si>
    <t>Fecha de inicio del período</t>
  </si>
  <si>
    <t>period_end</t>
  </si>
  <si>
    <t>Fecha de fin del período</t>
  </si>
  <si>
    <t>total_air_time</t>
  </si>
  <si>
    <t>Total de tiempo de vuelo acumulado en el período (en minutos)</t>
  </si>
  <si>
    <t>total_block_time</t>
  </si>
  <si>
    <t>Total de tiempo de bloque acumulado en el período (en minutos)</t>
  </si>
  <si>
    <t>total_flights</t>
  </si>
  <si>
    <t>Total de vuelos realizados en el período</t>
  </si>
  <si>
    <t>total_landings</t>
  </si>
  <si>
    <t>Total de aterrizajes realizados en el período</t>
  </si>
  <si>
    <t>cat_approaches</t>
  </si>
  <si>
    <t>Cantidad de aproximaciones de categoría en el período</t>
  </si>
  <si>
    <t>last_cat_approach_date</t>
  </si>
  <si>
    <t>Fecha de la última aproximación de categoría</t>
  </si>
  <si>
    <t>last_updated</t>
  </si>
  <si>
    <t>TIMESTAMP</t>
  </si>
  <si>
    <t>Timestamp de la última actualización del registro</t>
  </si>
  <si>
    <t>Identificador único UUID del mensaje</t>
  </si>
  <si>
    <t>message_code</t>
  </si>
  <si>
    <t>UNIQUE, INDEX</t>
  </si>
  <si>
    <t>message_code, idx_code</t>
  </si>
  <si>
    <t>Código único del mensaje (ej: MOD_U_DUP_ERR_00001)</t>
  </si>
  <si>
    <t>type</t>
  </si>
  <si>
    <t>INDEX</t>
  </si>
  <si>
    <t>idx_type</t>
  </si>
  <si>
    <t>ERROR, EXITO, WARNING, INFO, DEBUG</t>
  </si>
  <si>
    <t>Tipo de mensaje: ERROR, EXITO, WARNING, INFO, DEBUG</t>
  </si>
  <si>
    <t>category</t>
  </si>
  <si>
    <t>Categoría del mensaje: end_user, system, validation</t>
  </si>
  <si>
    <t>module</t>
  </si>
  <si>
    <t>idx_module</t>
  </si>
  <si>
    <t>Módulo al que pertenece: general, users, validation, authorization</t>
  </si>
  <si>
    <t>message_title</t>
  </si>
  <si>
    <t>Título corto del mensaje</t>
  </si>
  <si>
    <t>message_content</t>
  </si>
  <si>
    <t>TEXT</t>
  </si>
  <si>
    <t>Contenido del mensaje con placeholders</t>
  </si>
  <si>
    <t>is_active</t>
  </si>
  <si>
    <t>idx_active</t>
  </si>
  <si>
    <t>Indica si el mensaje está activo (true/false)</t>
  </si>
  <si>
    <t>created_at</t>
  </si>
  <si>
    <t>Timestamp de creación del registro</t>
  </si>
  <si>
    <t>updated_at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</si>
</sst>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u/>
      <sz val="11"/>
      <color theme="10"/>
      <name val="Calibri"/>
      <family val="2"/>
      <scheme val="minor"/>
    </font>
    <font>
      <sz val="10"/>
      <name val="Consolas"/>
    </font>
    <font>
      <sz val="10"/>
      <name val="Calibri"/>
    </font>
  </fonts>
  <fills count="5">
    <fill>
      <patternFill patternType="none"/>
    </fill>
    <fill>
      <patternFill patternType="gray125"/>
    </fill>
    <fill>
      <patternFill patternType="solid">
        <fgColor theme="2" tint="-9.9978637043366805E-2"/>
        <bgColor indexed="64"/>
      </patternFill>
    </fill>
    <fill>
      <patternFill patternType="solid">
        <fgColor rgb="FFFFCCFF"/>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41">
    <xf numFmtId="0" fontId="0" fillId="0" borderId="0" xfId="0"/>
    <xf numFmtId="0" fontId="0" fillId="0" borderId="0" xfId="0" applyAlignment="1">
      <alignment vertical="center"/>
    </xf>
    <xf numFmtId="0" fontId="1" fillId="3" borderId="2" xfId="0" applyFont="1" applyFill="1" applyBorder="1" applyAlignment="1">
      <alignment vertical="center"/>
    </xf>
    <xf numFmtId="0" fontId="1" fillId="3" borderId="5" xfId="0" applyFont="1" applyFill="1" applyBorder="1" applyAlignment="1">
      <alignment vertical="center"/>
    </xf>
    <xf numFmtId="0" fontId="1" fillId="2" borderId="1" xfId="0" applyFont="1" applyFill="1" applyBorder="1" applyAlignment="1">
      <alignment horizontal="center" vertical="center"/>
    </xf>
    <xf numFmtId="0" fontId="0" fillId="0" borderId="0" xfId="0" applyAlignment="1">
      <alignment horizontal="center" vertical="center"/>
    </xf>
    <xf numFmtId="0" fontId="0" fillId="4" borderId="0" xfId="0" applyFill="1"/>
    <xf numFmtId="0" fontId="2" fillId="0" borderId="5" xfId="1" applyBorder="1"/>
    <xf numFmtId="0" fontId="0" fillId="0" borderId="6" xfId="0" applyBorder="1"/>
    <xf numFmtId="0" fontId="0" fillId="0" borderId="5" xfId="0" applyBorder="1"/>
    <xf numFmtId="0" fontId="0" fillId="0" borderId="7" xfId="0" applyBorder="1"/>
    <xf numFmtId="0" fontId="0" fillId="0" borderId="8" xfId="0" applyBorder="1"/>
    <xf numFmtId="0" fontId="1" fillId="0" borderId="2" xfId="0" applyFont="1" applyBorder="1" applyAlignment="1">
      <alignment horizontal="center"/>
    </xf>
    <xf numFmtId="0" fontId="1" fillId="0" borderId="4" xfId="0" applyFont="1" applyBorder="1" applyAlignment="1">
      <alignment horizontal="center"/>
    </xf>
    <xf numFmtId="0" fontId="0" fillId="0" borderId="6" xfId="0" applyBorder="1" applyAlignment="1">
      <alignment wrapText="1"/>
    </xf>
    <xf numFmtId="0" fontId="0" fillId="0" borderId="8" xfId="0" applyBorder="1" applyAlignment="1">
      <alignment wrapText="1"/>
    </xf>
    <xf numFmtId="0" fontId="1" fillId="2" borderId="3"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9" xfId="1" applyBorder="1" applyAlignment="1">
      <alignment horizontal="left" vertical="center"/>
    </xf>
    <xf numFmtId="0" fontId="1" fillId="2" borderId="10" xfId="0" applyFont="1" applyFill="1" applyBorder="1" applyAlignment="1">
      <alignment horizontal="left" vertical="center"/>
    </xf>
    <xf numFmtId="0" fontId="1" fillId="2" borderId="11" xfId="0" applyFont="1" applyFill="1" applyBorder="1" applyAlignment="1">
      <alignment horizontal="left" vertical="center"/>
    </xf>
    <xf numFmtId="0" fontId="1" fillId="2" borderId="12" xfId="0" applyFont="1" applyFill="1" applyBorder="1" applyAlignment="1">
      <alignment horizontal="left" vertical="center"/>
    </xf>
    <xf numFmtId="0" fontId="1" fillId="2" borderId="3"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3" xfId="0" applyBorder="1" applyAlignment="1">
      <alignment horizontal="left" vertical="center"/>
    </xf>
    <xf numFmtId="0" fontId="0" fillId="0" borderId="4" xfId="0" applyBorder="1" applyAlignment="1">
      <alignment horizontal="left" vertical="center"/>
    </xf>
    <xf numFmtId="0" fontId="0" fillId="0" borderId="1" xfId="0" applyBorder="1" applyAlignment="1">
      <alignment horizontal="left" vertical="center"/>
    </xf>
    <xf numFmtId="0" fontId="0" fillId="0" borderId="6" xfId="0" applyBorder="1" applyAlignment="1">
      <alignment horizontal="left" vertical="center"/>
    </xf>
    <xf numFmtId="0" fontId="1" fillId="2" borderId="4" xfId="0" applyFont="1" applyFill="1" applyBorder="1" applyAlignment="1">
      <alignment horizontal="center" vertical="center"/>
    </xf>
    <xf numFmtId="0" fontId="1" fillId="2" borderId="6" xfId="0" applyFont="1" applyFill="1" applyBorder="1" applyAlignment="1">
      <alignment horizontal="center" vertical="center"/>
    </xf>
    <xf numFmtId="0" fontId="0" fillId="0" borderId="13" xfId="0" applyBorder="1" applyAlignment="1">
      <alignment horizontal="left" vertical="center"/>
    </xf>
    <xf numFmtId="0" fontId="0" fillId="0" borderId="14" xfId="0" applyBorder="1" applyAlignment="1">
      <alignment horizontal="left" vertical="center"/>
    </xf>
    <xf numFmtId="0" fontId="0" fillId="0" borderId="15" xfId="0" applyBorder="1" applyAlignment="1">
      <alignment horizontal="left" vertical="center"/>
    </xf>
    <xf numFmtId="0" fontId="0" fillId="0" borderId="1" xfId="0" applyBorder="1" applyAlignment="1">
      <alignment horizontal="left" vertical="center" wrapText="1"/>
    </xf>
    <xf numFmtId="0" fontId="0" fillId="0" borderId="6" xfId="0" applyBorder="1" applyAlignment="1">
      <alignment horizontal="left" vertical="center" wrapText="1"/>
    </xf>
    <xf numFmtId="0" fontId="3" fillId="0" borderId="1" xfId="0" applyFont="1" applyFill="1" applyBorder="1" applyAlignment="1">
      <alignment wrapText="1"/>
    </xf>
    <xf numFmtId="0" fontId="4" fillId="0" borderId="16" xfId="0" applyFont="1" applyFill="1" applyBorder="1" applyAlignment="1">
      <alignment wrapText="1"/>
    </xf>
    <xf numFmtId="0" fontId="3" fillId="0" borderId="17" xfId="0" applyFont="1" applyFill="1" applyBorder="1" applyAlignment="1">
      <alignment wrapText="1"/>
    </xf>
    <xf numFmtId="0" fontId="4" fillId="0" borderId="18" xfId="0" applyFont="1" applyFill="1" applyBorder="1" applyAlignment="1">
      <alignment wrapText="1"/>
    </xf>
  </cellXfs>
  <cellStyles count="2">
    <cellStyle name="Hipervínculo" xfId="1" builtinId="8"/>
    <cellStyle name="Normal" xfId="0" builtinId="0"/>
  </cellStyles>
  <dxfs count="0"/>
  <tableStyles count="0" defaultTableStyle="TableStyleMedium2"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24</xdr:col>
      <xdr:colOff>400050</xdr:colOff>
      <xdr:row>45</xdr:row>
      <xdr:rowOff>85725</xdr:rowOff>
    </xdr:to>
    <xdr:pic>
      <xdr:nvPicPr>
        <xdr:cNvPr id="2" name="Imagen 1">
          <a:extLst>
            <a:ext uri="{FF2B5EF4-FFF2-40B4-BE49-F238E27FC236}">
              <a16:creationId xmlns:a16="http://schemas.microsoft.com/office/drawing/2014/main" id="{C1E9A29F-444E-12FC-A40D-1266F271BC64}"/>
            </a:ext>
          </a:extLst>
        </xdr:cNvPr>
        <xdr:cNvPicPr>
          <a:picLocks noChangeAspect="1"/>
        </xdr:cNvPicPr>
      </xdr:nvPicPr>
      <xdr:blipFill>
        <a:blip xmlns:r="http://schemas.openxmlformats.org/officeDocument/2006/relationships" r:embed="rId1"/>
        <a:stretch>
          <a:fillRect/>
        </a:stretch>
      </xdr:blipFill>
      <xdr:spPr>
        <a:xfrm>
          <a:off x="0" y="19050"/>
          <a:ext cx="19545300" cy="8639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BDD5C-C31B-494F-AC8C-D9C6DB3214A6}">
  <dimension ref="A1"/>
  <sheetViews>
    <sheetView topLeftCell="K1" workbookViewId="0">
      <selection activeCell="Y31" sqref="Y31"/>
    </sheetView>
  </sheetViews>
  <sheetFormatPr defaultColWidth="11.42578125" defaultRowHeight="15"/>
  <cols>
    <col min="1" max="1" width="24.28515625" style="6" bestFit="1" customWidth="1"/>
    <col min="2" max="16384" width="11.42578125" style="6"/>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5403-6348-4EA1-A621-73D3E528C0B5}">
  <dimension ref="A1:B14"/>
  <sheetViews>
    <sheetView workbookViewId="0">
      <selection activeCell="B10" sqref="B10"/>
    </sheetView>
  </sheetViews>
  <sheetFormatPr defaultColWidth="11.42578125" defaultRowHeight="15"/>
  <cols>
    <col min="1" max="1" width="30.140625" customWidth="1"/>
    <col min="2" max="2" width="145.42578125" customWidth="1"/>
  </cols>
  <sheetData>
    <row r="1" spans="1:2">
      <c r="A1" s="12" t="s">
        <v>0</v>
      </c>
      <c r="B1" s="13" t="s">
        <v>1</v>
      </c>
    </row>
    <row r="2" spans="1:2">
      <c r="A2" s="7" t="s">
        <v>2</v>
      </c>
      <c r="B2" s="8" t="s">
        <v>3</v>
      </c>
    </row>
    <row r="3" spans="1:2" ht="30.75">
      <c r="A3" s="9" t="s">
        <v>4</v>
      </c>
      <c r="B3" s="14" t="s">
        <v>5</v>
      </c>
    </row>
    <row r="4" spans="1:2">
      <c r="A4" s="9" t="s">
        <v>6</v>
      </c>
      <c r="B4" s="8" t="s">
        <v>7</v>
      </c>
    </row>
    <row r="5" spans="1:2">
      <c r="A5" s="9" t="s">
        <v>8</v>
      </c>
      <c r="B5" s="8" t="s">
        <v>9</v>
      </c>
    </row>
    <row r="6" spans="1:2">
      <c r="A6" s="9" t="s">
        <v>10</v>
      </c>
      <c r="B6" s="8" t="s">
        <v>11</v>
      </c>
    </row>
    <row r="7" spans="1:2">
      <c r="A7" s="9" t="s">
        <v>12</v>
      </c>
      <c r="B7" s="8" t="s">
        <v>13</v>
      </c>
    </row>
    <row r="8" spans="1:2">
      <c r="A8" s="10" t="s">
        <v>14</v>
      </c>
      <c r="B8" s="11" t="s">
        <v>15</v>
      </c>
    </row>
    <row r="9" spans="1:2" ht="30.75">
      <c r="A9" s="10" t="s">
        <v>16</v>
      </c>
      <c r="B9" s="15" t="s">
        <v>17</v>
      </c>
    </row>
    <row r="10" spans="1:2">
      <c r="A10" s="10" t="s">
        <v>18</v>
      </c>
      <c r="B10" s="11" t="s">
        <v>19</v>
      </c>
    </row>
    <row r="11" spans="1:2">
      <c r="A11" s="10" t="s">
        <v>20</v>
      </c>
      <c r="B11" s="11" t="s">
        <v>21</v>
      </c>
    </row>
    <row r="12" spans="1:2" ht="45.75">
      <c r="A12" s="10" t="s">
        <v>22</v>
      </c>
      <c r="B12" s="15" t="s">
        <v>23</v>
      </c>
    </row>
    <row r="13" spans="1:2" ht="30.75">
      <c r="A13" s="10" t="s">
        <v>24</v>
      </c>
      <c r="B13" s="15" t="s">
        <v>25</v>
      </c>
    </row>
    <row r="14" spans="1:2" ht="30.75">
      <c r="A14" s="10" t="s">
        <v>26</v>
      </c>
      <c r="B14" s="15" t="s">
        <v>27</v>
      </c>
    </row>
  </sheetData>
  <hyperlinks>
    <hyperlink ref="A2" location="EntidaUno!A1" display="EntidadUno" xr:uid="{9A8D5B9E-EA38-4D69-BA3E-18259FB2B9A1}"/>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D7783-E295-4FC8-9545-497BD6184227}">
  <dimension ref="A1:T10"/>
  <sheetViews>
    <sheetView topLeftCell="O1" zoomScaleNormal="100" workbookViewId="0">
      <pane ySplit="1" topLeftCell="R2" activePane="bottomLeft" state="frozen"/>
      <selection pane="bottomLeft" activeCell="D12" sqref="D12"/>
    </sheetView>
  </sheetViews>
  <sheetFormatPr defaultColWidth="19.7109375" defaultRowHeight="15"/>
  <cols>
    <col min="1" max="1" width="15.7109375" style="1" bestFit="1" customWidth="1"/>
    <col min="2" max="2" width="17.5703125" style="1" bestFit="1" customWidth="1"/>
    <col min="3" max="3" width="12.5703125" style="1" bestFit="1" customWidth="1"/>
    <col min="4" max="4" width="38" style="1" bestFit="1" customWidth="1"/>
    <col min="5" max="5" width="39.5703125" style="1" bestFit="1" customWidth="1"/>
    <col min="6" max="6" width="26.5703125" style="1" bestFit="1" customWidth="1"/>
    <col min="7" max="7" width="22.28515625" style="1" bestFit="1" customWidth="1"/>
    <col min="8" max="8" width="46.5703125" style="1" bestFit="1" customWidth="1"/>
    <col min="9" max="9" width="23.7109375" style="1" bestFit="1" customWidth="1"/>
    <col min="10" max="10" width="11.28515625" style="1" bestFit="1" customWidth="1"/>
    <col min="11" max="11" width="15.42578125" style="1" bestFit="1" customWidth="1"/>
    <col min="12" max="12" width="62.7109375" style="1" bestFit="1" customWidth="1"/>
    <col min="13" max="13" width="58.85546875" style="1" bestFit="1" customWidth="1"/>
    <col min="14" max="14" width="62.42578125" style="1" bestFit="1" customWidth="1"/>
    <col min="15" max="15" width="58.5703125" style="1" bestFit="1" customWidth="1"/>
    <col min="16" max="16" width="59.85546875" style="1" bestFit="1" customWidth="1"/>
    <col min="17" max="17" width="7.7109375" style="1" bestFit="1" customWidth="1"/>
    <col min="18" max="18" width="56.28515625" style="1" bestFit="1" customWidth="1"/>
    <col min="19" max="19" width="8.140625" style="1" bestFit="1" customWidth="1"/>
    <col min="20" max="20" width="31.42578125" style="1" customWidth="1"/>
    <col min="21" max="16384" width="19.7109375" style="1"/>
  </cols>
  <sheetData>
    <row r="1" spans="1:20" ht="15.75" thickBot="1">
      <c r="A1" s="20" t="s">
        <v>28</v>
      </c>
      <c r="B1" s="20"/>
      <c r="C1" s="20"/>
      <c r="D1" s="20"/>
      <c r="E1" s="20"/>
    </row>
    <row r="2" spans="1:20" ht="13.5" customHeight="1">
      <c r="A2" s="2" t="str">
        <f>Entidades!$A$1</f>
        <v>Entidad</v>
      </c>
      <c r="B2" s="26" t="str">
        <f>Entidades!A2</f>
        <v>aerolinea</v>
      </c>
      <c r="C2" s="26"/>
      <c r="D2" s="26"/>
      <c r="E2" s="27"/>
    </row>
    <row r="3" spans="1:20" ht="15.75" thickBot="1">
      <c r="A3" s="3" t="str">
        <f>Entidades!$B$1</f>
        <v>Desripción</v>
      </c>
      <c r="B3" s="28" t="str">
        <f>Entidades!B2</f>
        <v>Entidad que contiene la información de  una aerolínea. Contiene nombre, código y estado de activación.</v>
      </c>
      <c r="C3" s="28"/>
      <c r="D3" s="28"/>
      <c r="E3" s="29"/>
    </row>
    <row r="4" spans="1:20" ht="15.75" thickBot="1">
      <c r="A4" s="21" t="s">
        <v>29</v>
      </c>
      <c r="B4" s="22"/>
      <c r="C4" s="22"/>
      <c r="D4" s="22"/>
      <c r="E4" s="22"/>
      <c r="F4" s="22"/>
      <c r="G4" s="22"/>
      <c r="H4" s="22"/>
      <c r="I4" s="22"/>
      <c r="J4" s="22"/>
      <c r="K4" s="22"/>
      <c r="L4" s="22"/>
      <c r="M4" s="22"/>
      <c r="N4" s="22"/>
      <c r="O4" s="22"/>
      <c r="P4" s="22"/>
      <c r="Q4" s="22"/>
      <c r="R4" s="22"/>
      <c r="S4" s="22"/>
      <c r="T4" s="23"/>
    </row>
    <row r="5" spans="1:20" s="5" customFormat="1">
      <c r="A5" s="17" t="s">
        <v>30</v>
      </c>
      <c r="B5" s="16" t="s">
        <v>31</v>
      </c>
      <c r="C5" s="16" t="s">
        <v>32</v>
      </c>
      <c r="D5" s="16" t="s">
        <v>33</v>
      </c>
      <c r="E5" s="16" t="s">
        <v>34</v>
      </c>
      <c r="F5" s="16" t="s">
        <v>35</v>
      </c>
      <c r="G5" s="16" t="s">
        <v>36</v>
      </c>
      <c r="H5" s="24" t="s">
        <v>37</v>
      </c>
      <c r="I5" s="16" t="s">
        <v>38</v>
      </c>
      <c r="J5" s="16"/>
      <c r="K5" s="16"/>
      <c r="L5" s="16" t="s">
        <v>39</v>
      </c>
      <c r="M5" s="16"/>
      <c r="N5" s="16" t="s">
        <v>40</v>
      </c>
      <c r="O5" s="16"/>
      <c r="P5" s="16" t="s">
        <v>41</v>
      </c>
      <c r="Q5" s="16"/>
      <c r="R5" s="16"/>
      <c r="S5" s="16" t="s">
        <v>42</v>
      </c>
      <c r="T5" s="30" t="s">
        <v>43</v>
      </c>
    </row>
    <row r="6" spans="1:20" s="5" customFormat="1">
      <c r="A6" s="18"/>
      <c r="B6" s="19"/>
      <c r="C6" s="19"/>
      <c r="D6" s="19"/>
      <c r="E6" s="19"/>
      <c r="F6" s="19"/>
      <c r="G6" s="19"/>
      <c r="H6" s="25"/>
      <c r="I6" s="4" t="s">
        <v>44</v>
      </c>
      <c r="J6" s="4" t="s">
        <v>0</v>
      </c>
      <c r="K6" s="4" t="s">
        <v>45</v>
      </c>
      <c r="L6" s="4" t="s">
        <v>46</v>
      </c>
      <c r="M6" s="4" t="s">
        <v>47</v>
      </c>
      <c r="N6" s="4" t="s">
        <v>48</v>
      </c>
      <c r="O6" s="4" t="s">
        <v>49</v>
      </c>
      <c r="P6" s="4" t="s">
        <v>50</v>
      </c>
      <c r="Q6" s="4" t="s">
        <v>51</v>
      </c>
      <c r="R6" s="4" t="s">
        <v>52</v>
      </c>
      <c r="S6" s="19"/>
      <c r="T6" s="31"/>
    </row>
    <row r="7" spans="1:20" ht="27">
      <c r="A7" s="37" t="s">
        <v>53</v>
      </c>
      <c r="B7" s="38" t="s">
        <v>54</v>
      </c>
      <c r="C7" s="38">
        <v>36</v>
      </c>
      <c r="D7" s="38" t="s">
        <v>55</v>
      </c>
      <c r="E7" s="38" t="s">
        <v>55</v>
      </c>
      <c r="F7" s="38" t="s">
        <v>56</v>
      </c>
      <c r="G7" s="38" t="s">
        <v>57</v>
      </c>
      <c r="H7" s="38" t="s">
        <v>57</v>
      </c>
      <c r="I7" s="38" t="s">
        <v>56</v>
      </c>
      <c r="J7" s="38" t="s">
        <v>55</v>
      </c>
      <c r="K7" s="38" t="s">
        <v>55</v>
      </c>
      <c r="L7" s="38" t="s">
        <v>56</v>
      </c>
      <c r="M7" s="38" t="s">
        <v>55</v>
      </c>
      <c r="N7" s="38" t="s">
        <v>56</v>
      </c>
      <c r="O7" s="38" t="s">
        <v>55</v>
      </c>
      <c r="P7" s="38" t="s">
        <v>57</v>
      </c>
      <c r="Q7" s="38" t="s">
        <v>58</v>
      </c>
      <c r="R7" s="38" t="s">
        <v>58</v>
      </c>
      <c r="S7" s="38" t="s">
        <v>55</v>
      </c>
      <c r="T7" s="38" t="s">
        <v>59</v>
      </c>
    </row>
    <row r="8" spans="1:20">
      <c r="A8" s="39" t="s">
        <v>60</v>
      </c>
      <c r="B8" s="40" t="s">
        <v>54</v>
      </c>
      <c r="C8" s="40">
        <v>30</v>
      </c>
      <c r="D8" s="40" t="s">
        <v>55</v>
      </c>
      <c r="E8" s="40" t="s">
        <v>55</v>
      </c>
      <c r="F8" s="40" t="s">
        <v>56</v>
      </c>
      <c r="G8" s="40" t="s">
        <v>57</v>
      </c>
      <c r="H8" s="40" t="s">
        <v>56</v>
      </c>
      <c r="I8" s="40" t="s">
        <v>56</v>
      </c>
      <c r="J8" s="40" t="s">
        <v>55</v>
      </c>
      <c r="K8" s="40" t="s">
        <v>55</v>
      </c>
      <c r="L8" s="40" t="s">
        <v>56</v>
      </c>
      <c r="M8" s="40" t="s">
        <v>55</v>
      </c>
      <c r="N8" s="40" t="s">
        <v>56</v>
      </c>
      <c r="O8" s="40" t="s">
        <v>55</v>
      </c>
      <c r="P8" s="40" t="s">
        <v>56</v>
      </c>
      <c r="Q8" s="40" t="s">
        <v>55</v>
      </c>
      <c r="R8" s="40" t="s">
        <v>55</v>
      </c>
      <c r="S8" s="40" t="s">
        <v>55</v>
      </c>
      <c r="T8" s="40" t="s">
        <v>61</v>
      </c>
    </row>
    <row r="9" spans="1:20">
      <c r="A9" s="39" t="s">
        <v>62</v>
      </c>
      <c r="B9" s="40" t="s">
        <v>54</v>
      </c>
      <c r="C9" s="40">
        <v>3</v>
      </c>
      <c r="D9" s="40" t="s">
        <v>55</v>
      </c>
      <c r="E9" s="40" t="s">
        <v>55</v>
      </c>
      <c r="F9" s="40" t="s">
        <v>56</v>
      </c>
      <c r="G9" s="40" t="s">
        <v>57</v>
      </c>
      <c r="H9" s="40" t="s">
        <v>56</v>
      </c>
      <c r="I9" s="40" t="s">
        <v>56</v>
      </c>
      <c r="J9" s="40" t="s">
        <v>55</v>
      </c>
      <c r="K9" s="40" t="s">
        <v>55</v>
      </c>
      <c r="L9" s="40" t="s">
        <v>56</v>
      </c>
      <c r="M9" s="40" t="s">
        <v>55</v>
      </c>
      <c r="N9" s="40" t="s">
        <v>56</v>
      </c>
      <c r="O9" s="40" t="s">
        <v>55</v>
      </c>
      <c r="P9" s="40" t="s">
        <v>56</v>
      </c>
      <c r="Q9" s="40" t="s">
        <v>55</v>
      </c>
      <c r="R9" s="40" t="s">
        <v>55</v>
      </c>
      <c r="S9" s="40" t="s">
        <v>55</v>
      </c>
      <c r="T9" s="40" t="s">
        <v>63</v>
      </c>
    </row>
    <row r="10" spans="1:20" ht="27">
      <c r="A10" s="39" t="s">
        <v>64</v>
      </c>
      <c r="B10" s="40" t="s">
        <v>65</v>
      </c>
      <c r="C10" s="40" t="s">
        <v>55</v>
      </c>
      <c r="D10" s="40" t="s">
        <v>55</v>
      </c>
      <c r="E10" s="40" t="s">
        <v>55</v>
      </c>
      <c r="F10" s="40" t="s">
        <v>56</v>
      </c>
      <c r="G10" s="40" t="s">
        <v>57</v>
      </c>
      <c r="H10" s="40" t="s">
        <v>56</v>
      </c>
      <c r="I10" s="40" t="s">
        <v>56</v>
      </c>
      <c r="J10" s="40" t="s">
        <v>55</v>
      </c>
      <c r="K10" s="40" t="s">
        <v>55</v>
      </c>
      <c r="L10" s="40" t="s">
        <v>56</v>
      </c>
      <c r="M10" s="40" t="s">
        <v>55</v>
      </c>
      <c r="N10" s="40" t="s">
        <v>56</v>
      </c>
      <c r="O10" s="40" t="s">
        <v>55</v>
      </c>
      <c r="P10" s="40" t="s">
        <v>56</v>
      </c>
      <c r="Q10" s="40" t="s">
        <v>55</v>
      </c>
      <c r="R10" s="40" t="s">
        <v>55</v>
      </c>
      <c r="S10" s="40" t="s">
        <v>55</v>
      </c>
      <c r="T10" s="40" t="s">
        <v>66</v>
      </c>
    </row>
  </sheetData>
  <mergeCells count="18">
    <mergeCell ref="A1:E1"/>
    <mergeCell ref="A4:T4"/>
    <mergeCell ref="B5:B6"/>
    <mergeCell ref="G5:G6"/>
    <mergeCell ref="H5:H6"/>
    <mergeCell ref="C5:C6"/>
    <mergeCell ref="D5:D6"/>
    <mergeCell ref="B2:E2"/>
    <mergeCell ref="B3:E3"/>
    <mergeCell ref="S5:S6"/>
    <mergeCell ref="T5:T6"/>
    <mergeCell ref="I5:K5"/>
    <mergeCell ref="L5:M5"/>
    <mergeCell ref="N5:O5"/>
    <mergeCell ref="P5:R5"/>
    <mergeCell ref="A5:A6"/>
    <mergeCell ref="F5:F6"/>
    <mergeCell ref="E5:E6"/>
  </mergeCells>
  <hyperlinks>
    <hyperlink ref="A1:E1" location="Clases!A1" display="&lt;-Volver al inicio" xr:uid="{845DD4A4-356D-496B-892B-AFFC0046019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61B9A-0FA7-460D-AEA8-974846A51CB0}">
  <dimension ref="A1:D3"/>
  <sheetViews>
    <sheetView workbookViewId="0">
      <selection activeCell="D3" sqref="D3"/>
    </sheetView>
  </sheetViews>
  <sheetFormatPr defaultColWidth="11.42578125" defaultRowHeight="15"/>
  <cols>
    <col min="1" max="1" width="12.42578125" bestFit="1" customWidth="1"/>
    <col min="2" max="2" width="13.28515625" bestFit="1" customWidth="1"/>
  </cols>
  <sheetData>
    <row r="1" spans="1:4">
      <c r="A1" t="s">
        <v>67</v>
      </c>
      <c r="B1" t="s">
        <v>68</v>
      </c>
      <c r="C1" t="s">
        <v>69</v>
      </c>
      <c r="D1" t="s">
        <v>70</v>
      </c>
    </row>
    <row r="2" spans="1:4">
      <c r="A2" t="s">
        <v>71</v>
      </c>
      <c r="B2" t="s">
        <v>72</v>
      </c>
      <c r="C2" t="s">
        <v>73</v>
      </c>
      <c r="D2" t="s">
        <v>74</v>
      </c>
    </row>
    <row r="3" spans="1:4">
      <c r="A3" t="s">
        <v>75</v>
      </c>
      <c r="C3" t="s">
        <v>56</v>
      </c>
      <c r="D3" t="s">
        <v>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5E73B-7B3D-4E6D-8A20-62B2BCE2CEF8}">
  <dimension ref="A1:T17"/>
  <sheetViews>
    <sheetView topLeftCell="O1" zoomScaleNormal="100" workbookViewId="0">
      <pane ySplit="1" topLeftCell="K2" activePane="bottomLeft" state="frozen"/>
      <selection pane="bottomLeft" activeCell="T13" sqref="T13"/>
    </sheetView>
  </sheetViews>
  <sheetFormatPr defaultColWidth="19.7109375" defaultRowHeight="15"/>
  <cols>
    <col min="1" max="1" width="15.7109375" style="1" bestFit="1" customWidth="1"/>
    <col min="2" max="2" width="17.5703125" style="1" bestFit="1" customWidth="1"/>
    <col min="3" max="3" width="12.5703125" style="1" bestFit="1" customWidth="1"/>
    <col min="4" max="4" width="38" style="1" bestFit="1" customWidth="1"/>
    <col min="5" max="5" width="78.85546875" style="1" customWidth="1"/>
    <col min="6" max="6" width="26.5703125" style="1" bestFit="1" customWidth="1"/>
    <col min="7" max="7" width="22.28515625" style="1" bestFit="1" customWidth="1"/>
    <col min="8" max="8" width="46.5703125" style="1" bestFit="1" customWidth="1"/>
    <col min="9" max="9" width="23.7109375" style="1" bestFit="1" customWidth="1"/>
    <col min="10" max="10" width="11.28515625" style="1" bestFit="1" customWidth="1"/>
    <col min="11" max="11" width="15.42578125" style="1" bestFit="1" customWidth="1"/>
    <col min="12" max="12" width="62.7109375" style="1" bestFit="1" customWidth="1"/>
    <col min="13" max="13" width="58.85546875" style="1" bestFit="1" customWidth="1"/>
    <col min="14" max="14" width="62.42578125" style="1" bestFit="1" customWidth="1"/>
    <col min="15" max="15" width="58.5703125" style="1" bestFit="1" customWidth="1"/>
    <col min="16" max="16" width="59.85546875" style="1" bestFit="1" customWidth="1"/>
    <col min="17" max="17" width="7.7109375" style="1" bestFit="1" customWidth="1"/>
    <col min="18" max="18" width="56.28515625" style="1" bestFit="1" customWidth="1"/>
    <col min="19" max="19" width="8.140625" style="1" bestFit="1" customWidth="1"/>
    <col min="20" max="20" width="31.42578125" style="1" customWidth="1"/>
    <col min="21" max="16384" width="19.7109375" style="1"/>
  </cols>
  <sheetData>
    <row r="1" spans="1:20">
      <c r="A1" s="20" t="s">
        <v>28</v>
      </c>
      <c r="B1" s="20"/>
      <c r="C1" s="20"/>
      <c r="D1" s="20"/>
      <c r="E1" s="20"/>
    </row>
    <row r="2" spans="1:20" ht="13.5" customHeight="1">
      <c r="A2" s="2" t="str">
        <f>Entidades!$A$1</f>
        <v>Entidad</v>
      </c>
      <c r="B2" s="26" t="str">
        <f>Entidades!A3</f>
        <v xml:space="preserve">empleado </v>
      </c>
      <c r="C2" s="26"/>
      <c r="D2" s="26"/>
      <c r="E2" s="27"/>
    </row>
    <row r="3" spans="1:20">
      <c r="A3" s="3" t="str">
        <f>Entidades!$B$1</f>
        <v>Desripción</v>
      </c>
      <c r="B3" s="28" t="str">
        <f>Entidades!B3</f>
        <v>Entidad que contiene la información de  un piloto . Contiene nombre, correo, número de identificación, BP, fechas de vinculación con la aerolínea, rol y estado de activación.</v>
      </c>
      <c r="C3" s="28"/>
      <c r="D3" s="28"/>
      <c r="E3" s="29"/>
    </row>
    <row r="4" spans="1:20">
      <c r="A4" s="21" t="s">
        <v>29</v>
      </c>
      <c r="B4" s="22"/>
      <c r="C4" s="22"/>
      <c r="D4" s="22"/>
      <c r="E4" s="22"/>
      <c r="F4" s="22"/>
      <c r="G4" s="22"/>
      <c r="H4" s="22"/>
      <c r="I4" s="22"/>
      <c r="J4" s="22"/>
      <c r="K4" s="22"/>
      <c r="L4" s="22"/>
      <c r="M4" s="22"/>
      <c r="N4" s="22"/>
      <c r="O4" s="22"/>
      <c r="P4" s="22"/>
      <c r="Q4" s="22"/>
      <c r="R4" s="22"/>
      <c r="S4" s="22"/>
      <c r="T4" s="23"/>
    </row>
    <row r="5" spans="1:20" s="5" customFormat="1">
      <c r="A5" s="17" t="s">
        <v>30</v>
      </c>
      <c r="B5" s="16" t="s">
        <v>31</v>
      </c>
      <c r="C5" s="16" t="s">
        <v>32</v>
      </c>
      <c r="D5" s="16" t="s">
        <v>33</v>
      </c>
      <c r="E5" s="16" t="s">
        <v>34</v>
      </c>
      <c r="F5" s="16" t="s">
        <v>35</v>
      </c>
      <c r="G5" s="16" t="s">
        <v>36</v>
      </c>
      <c r="H5" s="24" t="s">
        <v>37</v>
      </c>
      <c r="I5" s="16" t="s">
        <v>38</v>
      </c>
      <c r="J5" s="16"/>
      <c r="K5" s="16"/>
      <c r="L5" s="16" t="s">
        <v>39</v>
      </c>
      <c r="M5" s="16"/>
      <c r="N5" s="16" t="s">
        <v>40</v>
      </c>
      <c r="O5" s="16"/>
      <c r="P5" s="16" t="s">
        <v>41</v>
      </c>
      <c r="Q5" s="16"/>
      <c r="R5" s="16"/>
      <c r="S5" s="16" t="s">
        <v>42</v>
      </c>
      <c r="T5" s="30" t="s">
        <v>43</v>
      </c>
    </row>
    <row r="6" spans="1:20" s="5" customFormat="1">
      <c r="A6" s="18"/>
      <c r="B6" s="19"/>
      <c r="C6" s="19"/>
      <c r="D6" s="19"/>
      <c r="E6" s="19"/>
      <c r="F6" s="19"/>
      <c r="G6" s="19"/>
      <c r="H6" s="25"/>
      <c r="I6" s="4" t="s">
        <v>44</v>
      </c>
      <c r="J6" s="4" t="s">
        <v>0</v>
      </c>
      <c r="K6" s="4" t="s">
        <v>45</v>
      </c>
      <c r="L6" s="4" t="s">
        <v>46</v>
      </c>
      <c r="M6" s="4" t="s">
        <v>47</v>
      </c>
      <c r="N6" s="4" t="s">
        <v>48</v>
      </c>
      <c r="O6" s="4" t="s">
        <v>49</v>
      </c>
      <c r="P6" s="4" t="s">
        <v>50</v>
      </c>
      <c r="Q6" s="4" t="s">
        <v>51</v>
      </c>
      <c r="R6" s="4" t="s">
        <v>52</v>
      </c>
      <c r="S6" s="19"/>
      <c r="T6" s="31"/>
    </row>
    <row r="7" spans="1:20" ht="27">
      <c r="A7" s="37" t="s">
        <v>53</v>
      </c>
      <c r="B7" s="38" t="s">
        <v>54</v>
      </c>
      <c r="C7" s="38">
        <v>36</v>
      </c>
      <c r="D7" s="38" t="s">
        <v>55</v>
      </c>
      <c r="E7" s="38" t="s">
        <v>55</v>
      </c>
      <c r="F7" s="38" t="s">
        <v>56</v>
      </c>
      <c r="G7" s="38" t="s">
        <v>57</v>
      </c>
      <c r="H7" s="38" t="s">
        <v>57</v>
      </c>
      <c r="I7" s="38" t="s">
        <v>56</v>
      </c>
      <c r="J7" s="38" t="s">
        <v>55</v>
      </c>
      <c r="K7" s="38" t="s">
        <v>55</v>
      </c>
      <c r="L7" s="38" t="s">
        <v>56</v>
      </c>
      <c r="M7" s="38" t="s">
        <v>55</v>
      </c>
      <c r="N7" s="38" t="s">
        <v>56</v>
      </c>
      <c r="O7" s="38" t="s">
        <v>55</v>
      </c>
      <c r="P7" s="38" t="s">
        <v>57</v>
      </c>
      <c r="Q7" s="38" t="s">
        <v>58</v>
      </c>
      <c r="R7" s="38" t="s">
        <v>58</v>
      </c>
      <c r="S7" s="38" t="s">
        <v>55</v>
      </c>
      <c r="T7" s="38" t="s">
        <v>77</v>
      </c>
    </row>
    <row r="8" spans="1:20">
      <c r="A8" s="39" t="s">
        <v>78</v>
      </c>
      <c r="B8" s="40" t="s">
        <v>54</v>
      </c>
      <c r="C8" s="40">
        <v>50</v>
      </c>
      <c r="D8" s="40" t="s">
        <v>55</v>
      </c>
      <c r="E8" s="40" t="s">
        <v>55</v>
      </c>
      <c r="F8" s="40" t="s">
        <v>56</v>
      </c>
      <c r="G8" s="40" t="s">
        <v>57</v>
      </c>
      <c r="H8" s="40" t="s">
        <v>56</v>
      </c>
      <c r="I8" s="40" t="s">
        <v>56</v>
      </c>
      <c r="J8" s="40" t="s">
        <v>55</v>
      </c>
      <c r="K8" s="40" t="s">
        <v>55</v>
      </c>
      <c r="L8" s="40" t="s">
        <v>56</v>
      </c>
      <c r="M8" s="40" t="s">
        <v>55</v>
      </c>
      <c r="N8" s="40" t="s">
        <v>56</v>
      </c>
      <c r="O8" s="40" t="s">
        <v>55</v>
      </c>
      <c r="P8" s="40" t="s">
        <v>56</v>
      </c>
      <c r="Q8" s="40" t="s">
        <v>55</v>
      </c>
      <c r="R8" s="40" t="s">
        <v>55</v>
      </c>
      <c r="S8" s="40" t="s">
        <v>55</v>
      </c>
      <c r="T8" s="40" t="s">
        <v>79</v>
      </c>
    </row>
    <row r="9" spans="1:20" ht="27">
      <c r="A9" s="39" t="s">
        <v>80</v>
      </c>
      <c r="B9" s="40" t="s">
        <v>54</v>
      </c>
      <c r="C9" s="40">
        <v>36</v>
      </c>
      <c r="D9" s="40" t="s">
        <v>55</v>
      </c>
      <c r="E9" s="40" t="s">
        <v>55</v>
      </c>
      <c r="F9" s="40" t="s">
        <v>56</v>
      </c>
      <c r="G9" s="40" t="s">
        <v>56</v>
      </c>
      <c r="H9" s="40" t="s">
        <v>56</v>
      </c>
      <c r="I9" s="40" t="s">
        <v>57</v>
      </c>
      <c r="J9" s="40" t="s">
        <v>80</v>
      </c>
      <c r="K9" s="40" t="s">
        <v>53</v>
      </c>
      <c r="L9" s="40" t="s">
        <v>57</v>
      </c>
      <c r="M9" s="40" t="s">
        <v>81</v>
      </c>
      <c r="N9" s="40" t="s">
        <v>56</v>
      </c>
      <c r="O9" s="40" t="s">
        <v>55</v>
      </c>
      <c r="P9" s="40" t="s">
        <v>57</v>
      </c>
      <c r="Q9" s="40" t="s">
        <v>82</v>
      </c>
      <c r="R9" s="40" t="s">
        <v>81</v>
      </c>
      <c r="S9" s="40" t="s">
        <v>55</v>
      </c>
      <c r="T9" s="40" t="s">
        <v>83</v>
      </c>
    </row>
    <row r="10" spans="1:20" ht="27">
      <c r="A10" s="39" t="s">
        <v>84</v>
      </c>
      <c r="B10" s="40" t="s">
        <v>54</v>
      </c>
      <c r="C10" s="40">
        <v>150</v>
      </c>
      <c r="D10" s="40" t="s">
        <v>55</v>
      </c>
      <c r="E10" s="40" t="s">
        <v>55</v>
      </c>
      <c r="F10" s="40" t="s">
        <v>56</v>
      </c>
      <c r="G10" s="40" t="s">
        <v>57</v>
      </c>
      <c r="H10" s="40" t="s">
        <v>56</v>
      </c>
      <c r="I10" s="40" t="s">
        <v>56</v>
      </c>
      <c r="J10" s="40" t="s">
        <v>55</v>
      </c>
      <c r="K10" s="40" t="s">
        <v>55</v>
      </c>
      <c r="L10" s="40" t="s">
        <v>57</v>
      </c>
      <c r="M10" s="40" t="s">
        <v>85</v>
      </c>
      <c r="N10" s="40" t="s">
        <v>56</v>
      </c>
      <c r="O10" s="40" t="s">
        <v>55</v>
      </c>
      <c r="P10" s="40" t="s">
        <v>57</v>
      </c>
      <c r="Q10" s="40" t="s">
        <v>82</v>
      </c>
      <c r="R10" s="40" t="s">
        <v>85</v>
      </c>
      <c r="S10" s="40" t="s">
        <v>55</v>
      </c>
      <c r="T10" s="40" t="s">
        <v>86</v>
      </c>
    </row>
    <row r="11" spans="1:20" ht="27">
      <c r="A11" s="39" t="s">
        <v>87</v>
      </c>
      <c r="B11" s="40" t="s">
        <v>54</v>
      </c>
      <c r="C11" s="40">
        <v>10</v>
      </c>
      <c r="D11" s="40" t="s">
        <v>55</v>
      </c>
      <c r="E11" s="40" t="s">
        <v>55</v>
      </c>
      <c r="F11" s="40" t="s">
        <v>56</v>
      </c>
      <c r="G11" s="40" t="s">
        <v>57</v>
      </c>
      <c r="H11" s="40" t="s">
        <v>56</v>
      </c>
      <c r="I11" s="40" t="s">
        <v>56</v>
      </c>
      <c r="J11" s="40" t="s">
        <v>55</v>
      </c>
      <c r="K11" s="40" t="s">
        <v>55</v>
      </c>
      <c r="L11" s="40" t="s">
        <v>57</v>
      </c>
      <c r="M11" s="40" t="s">
        <v>81</v>
      </c>
      <c r="N11" s="40" t="s">
        <v>56</v>
      </c>
      <c r="O11" s="40" t="s">
        <v>55</v>
      </c>
      <c r="P11" s="40" t="s">
        <v>57</v>
      </c>
      <c r="Q11" s="40" t="s">
        <v>82</v>
      </c>
      <c r="R11" s="40" t="s">
        <v>81</v>
      </c>
      <c r="S11" s="40" t="s">
        <v>55</v>
      </c>
      <c r="T11" s="40" t="s">
        <v>88</v>
      </c>
    </row>
    <row r="12" spans="1:20" ht="27">
      <c r="A12" s="39" t="s">
        <v>89</v>
      </c>
      <c r="B12" s="40" t="s">
        <v>54</v>
      </c>
      <c r="C12" s="40">
        <v>16</v>
      </c>
      <c r="D12" s="40" t="s">
        <v>55</v>
      </c>
      <c r="E12" s="40" t="s">
        <v>55</v>
      </c>
      <c r="F12" s="40" t="s">
        <v>56</v>
      </c>
      <c r="G12" s="40" t="s">
        <v>56</v>
      </c>
      <c r="H12" s="40" t="s">
        <v>56</v>
      </c>
      <c r="I12" s="40" t="s">
        <v>56</v>
      </c>
      <c r="J12" s="40" t="s">
        <v>55</v>
      </c>
      <c r="K12" s="40" t="s">
        <v>55</v>
      </c>
      <c r="L12" s="40" t="s">
        <v>57</v>
      </c>
      <c r="M12" s="40" t="s">
        <v>81</v>
      </c>
      <c r="N12" s="40" t="s">
        <v>56</v>
      </c>
      <c r="O12" s="40" t="s">
        <v>55</v>
      </c>
      <c r="P12" s="40" t="s">
        <v>57</v>
      </c>
      <c r="Q12" s="40" t="s">
        <v>82</v>
      </c>
      <c r="R12" s="40" t="s">
        <v>81</v>
      </c>
      <c r="S12" s="40" t="s">
        <v>55</v>
      </c>
      <c r="T12" s="40" t="s">
        <v>90</v>
      </c>
    </row>
    <row r="13" spans="1:20" ht="27">
      <c r="A13" s="39" t="s">
        <v>91</v>
      </c>
      <c r="B13" s="40" t="s">
        <v>92</v>
      </c>
      <c r="C13" s="40" t="s">
        <v>55</v>
      </c>
      <c r="D13" s="40" t="s">
        <v>55</v>
      </c>
      <c r="E13" s="40" t="s">
        <v>55</v>
      </c>
      <c r="F13" s="40" t="s">
        <v>56</v>
      </c>
      <c r="G13" s="40" t="s">
        <v>56</v>
      </c>
      <c r="H13" s="40" t="s">
        <v>56</v>
      </c>
      <c r="I13" s="40" t="s">
        <v>56</v>
      </c>
      <c r="J13" s="40" t="s">
        <v>55</v>
      </c>
      <c r="K13" s="40" t="s">
        <v>55</v>
      </c>
      <c r="L13" s="40" t="s">
        <v>56</v>
      </c>
      <c r="M13" s="40" t="s">
        <v>55</v>
      </c>
      <c r="N13" s="40" t="s">
        <v>56</v>
      </c>
      <c r="O13" s="40" t="s">
        <v>55</v>
      </c>
      <c r="P13" s="40" t="s">
        <v>56</v>
      </c>
      <c r="Q13" s="40" t="s">
        <v>55</v>
      </c>
      <c r="R13" s="40" t="s">
        <v>55</v>
      </c>
      <c r="S13" s="40" t="s">
        <v>55</v>
      </c>
      <c r="T13" s="40" t="s">
        <v>93</v>
      </c>
    </row>
    <row r="14" spans="1:20" ht="27">
      <c r="A14" s="39" t="s">
        <v>94</v>
      </c>
      <c r="B14" s="40" t="s">
        <v>92</v>
      </c>
      <c r="C14" s="40" t="s">
        <v>55</v>
      </c>
      <c r="D14" s="40" t="s">
        <v>55</v>
      </c>
      <c r="E14" s="40" t="s">
        <v>55</v>
      </c>
      <c r="F14" s="40" t="s">
        <v>56</v>
      </c>
      <c r="G14" s="40" t="s">
        <v>56</v>
      </c>
      <c r="H14" s="40" t="s">
        <v>56</v>
      </c>
      <c r="I14" s="40" t="s">
        <v>56</v>
      </c>
      <c r="J14" s="40" t="s">
        <v>55</v>
      </c>
      <c r="K14" s="40" t="s">
        <v>55</v>
      </c>
      <c r="L14" s="40" t="s">
        <v>56</v>
      </c>
      <c r="M14" s="40" t="s">
        <v>55</v>
      </c>
      <c r="N14" s="40" t="s">
        <v>56</v>
      </c>
      <c r="O14" s="40" t="s">
        <v>55</v>
      </c>
      <c r="P14" s="40" t="s">
        <v>56</v>
      </c>
      <c r="Q14" s="40" t="s">
        <v>55</v>
      </c>
      <c r="R14" s="40" t="s">
        <v>55</v>
      </c>
      <c r="S14" s="40" t="s">
        <v>55</v>
      </c>
      <c r="T14" s="40" t="s">
        <v>95</v>
      </c>
    </row>
    <row r="15" spans="1:20" ht="27">
      <c r="A15" s="39" t="s">
        <v>96</v>
      </c>
      <c r="B15" s="40" t="s">
        <v>65</v>
      </c>
      <c r="C15" s="40" t="s">
        <v>55</v>
      </c>
      <c r="D15" s="40" t="s">
        <v>55</v>
      </c>
      <c r="E15" s="40" t="s">
        <v>55</v>
      </c>
      <c r="F15" s="40" t="s">
        <v>56</v>
      </c>
      <c r="G15" s="40" t="s">
        <v>57</v>
      </c>
      <c r="H15" s="40" t="s">
        <v>56</v>
      </c>
      <c r="I15" s="40" t="s">
        <v>56</v>
      </c>
      <c r="J15" s="40" t="s">
        <v>55</v>
      </c>
      <c r="K15" s="40" t="s">
        <v>55</v>
      </c>
      <c r="L15" s="40" t="s">
        <v>56</v>
      </c>
      <c r="M15" s="40" t="s">
        <v>55</v>
      </c>
      <c r="N15" s="40" t="s">
        <v>56</v>
      </c>
      <c r="O15" s="40" t="s">
        <v>55</v>
      </c>
      <c r="P15" s="40" t="s">
        <v>56</v>
      </c>
      <c r="Q15" s="40" t="s">
        <v>55</v>
      </c>
      <c r="R15" s="40" t="s">
        <v>55</v>
      </c>
      <c r="S15" s="40" t="s">
        <v>55</v>
      </c>
      <c r="T15" s="40" t="s">
        <v>97</v>
      </c>
    </row>
    <row r="16" spans="1:20" ht="27">
      <c r="A16" s="39" t="s">
        <v>98</v>
      </c>
      <c r="B16" s="40" t="s">
        <v>54</v>
      </c>
      <c r="C16" s="40">
        <v>10</v>
      </c>
      <c r="D16" s="40" t="s">
        <v>55</v>
      </c>
      <c r="E16" s="40" t="s">
        <v>55</v>
      </c>
      <c r="F16" s="40" t="s">
        <v>56</v>
      </c>
      <c r="G16" s="40" t="s">
        <v>57</v>
      </c>
      <c r="H16" s="40" t="s">
        <v>56</v>
      </c>
      <c r="I16" s="40" t="s">
        <v>56</v>
      </c>
      <c r="J16" s="40" t="s">
        <v>55</v>
      </c>
      <c r="K16" s="40" t="s">
        <v>55</v>
      </c>
      <c r="L16" s="40" t="s">
        <v>56</v>
      </c>
      <c r="M16" s="40" t="s">
        <v>55</v>
      </c>
      <c r="N16" s="40" t="s">
        <v>56</v>
      </c>
      <c r="O16" s="40" t="s">
        <v>55</v>
      </c>
      <c r="P16" s="40" t="s">
        <v>56</v>
      </c>
      <c r="Q16" s="40" t="s">
        <v>55</v>
      </c>
      <c r="R16" s="40" t="s">
        <v>55</v>
      </c>
      <c r="S16" s="40" t="s">
        <v>55</v>
      </c>
      <c r="T16" s="40" t="s">
        <v>99</v>
      </c>
    </row>
    <row r="17" spans="1:20" ht="27">
      <c r="A17" s="39" t="s">
        <v>100</v>
      </c>
      <c r="B17" s="40" t="s">
        <v>54</v>
      </c>
      <c r="C17" s="40">
        <v>36</v>
      </c>
      <c r="D17" s="40" t="s">
        <v>55</v>
      </c>
      <c r="E17" s="40" t="s">
        <v>55</v>
      </c>
      <c r="F17" s="40" t="s">
        <v>56</v>
      </c>
      <c r="G17" s="40" t="s">
        <v>56</v>
      </c>
      <c r="H17" s="40" t="s">
        <v>56</v>
      </c>
      <c r="I17" s="40" t="s">
        <v>56</v>
      </c>
      <c r="J17" s="40" t="s">
        <v>55</v>
      </c>
      <c r="K17" s="40" t="s">
        <v>55</v>
      </c>
      <c r="L17" s="40" t="s">
        <v>56</v>
      </c>
      <c r="M17" s="40" t="s">
        <v>55</v>
      </c>
      <c r="N17" s="40" t="s">
        <v>56</v>
      </c>
      <c r="O17" s="40" t="s">
        <v>55</v>
      </c>
      <c r="P17" s="40" t="s">
        <v>56</v>
      </c>
      <c r="Q17" s="40" t="s">
        <v>55</v>
      </c>
      <c r="R17" s="40" t="s">
        <v>55</v>
      </c>
      <c r="S17" s="40" t="s">
        <v>55</v>
      </c>
      <c r="T17" s="40" t="s">
        <v>101</v>
      </c>
    </row>
  </sheetData>
  <mergeCells count="18">
    <mergeCell ref="A1:E1"/>
    <mergeCell ref="B2:E2"/>
    <mergeCell ref="B3:E3"/>
    <mergeCell ref="A4:T4"/>
    <mergeCell ref="A5:A6"/>
    <mergeCell ref="B5:B6"/>
    <mergeCell ref="C5:C6"/>
    <mergeCell ref="D5:D6"/>
    <mergeCell ref="E5:E6"/>
    <mergeCell ref="F5:F6"/>
    <mergeCell ref="S5:S6"/>
    <mergeCell ref="T5:T6"/>
    <mergeCell ref="G5:G6"/>
    <mergeCell ref="H5:H6"/>
    <mergeCell ref="I5:K5"/>
    <mergeCell ref="L5:M5"/>
    <mergeCell ref="N5:O5"/>
    <mergeCell ref="P5:R5"/>
  </mergeCells>
  <hyperlinks>
    <hyperlink ref="A1:E1" location="Clases!A1" display="&lt;-Volver al inicio" xr:uid="{69A519CA-B452-4787-9A81-CD5DCB01222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0D060-EE3A-416F-9007-48B6ADF99C87}">
  <dimension ref="A1:T8"/>
  <sheetViews>
    <sheetView topLeftCell="O1" zoomScaleNormal="100" workbookViewId="0">
      <pane ySplit="1" topLeftCell="O2" activePane="bottomLeft" state="frozen"/>
      <selection pane="bottomLeft" activeCell="T9" sqref="T9"/>
    </sheetView>
  </sheetViews>
  <sheetFormatPr defaultColWidth="19.7109375" defaultRowHeight="15"/>
  <cols>
    <col min="1" max="1" width="15.7109375" style="1" bestFit="1" customWidth="1"/>
    <col min="2" max="2" width="17.5703125" style="1" bestFit="1" customWidth="1"/>
    <col min="3" max="3" width="12.5703125" style="1" bestFit="1" customWidth="1"/>
    <col min="4" max="4" width="38" style="1" bestFit="1" customWidth="1"/>
    <col min="5" max="5" width="39.5703125" style="1" bestFit="1" customWidth="1"/>
    <col min="6" max="6" width="26.5703125" style="1" bestFit="1" customWidth="1"/>
    <col min="7" max="7" width="22.28515625" style="1" bestFit="1" customWidth="1"/>
    <col min="8" max="8" width="46.5703125" style="1" bestFit="1" customWidth="1"/>
    <col min="9" max="9" width="23.7109375" style="1" bestFit="1" customWidth="1"/>
    <col min="10" max="10" width="11.28515625" style="1" bestFit="1" customWidth="1"/>
    <col min="11" max="11" width="15.42578125" style="1" bestFit="1" customWidth="1"/>
    <col min="12" max="12" width="62.7109375" style="1" bestFit="1" customWidth="1"/>
    <col min="13" max="13" width="58.85546875" style="1" bestFit="1" customWidth="1"/>
    <col min="14" max="14" width="62.42578125" style="1" bestFit="1" customWidth="1"/>
    <col min="15" max="15" width="58.5703125" style="1" bestFit="1" customWidth="1"/>
    <col min="16" max="16" width="59.85546875" style="1" bestFit="1" customWidth="1"/>
    <col min="17" max="17" width="7.7109375" style="1" bestFit="1" customWidth="1"/>
    <col min="18" max="18" width="56.28515625" style="1" bestFit="1" customWidth="1"/>
    <col min="19" max="19" width="8.140625" style="1" bestFit="1" customWidth="1"/>
    <col min="20" max="20" width="31.42578125" style="1" customWidth="1"/>
    <col min="21" max="16384" width="19.7109375" style="1"/>
  </cols>
  <sheetData>
    <row r="1" spans="1:20">
      <c r="A1" s="20" t="s">
        <v>28</v>
      </c>
      <c r="B1" s="20"/>
      <c r="C1" s="20"/>
      <c r="D1" s="20"/>
      <c r="E1" s="20"/>
    </row>
    <row r="2" spans="1:20" ht="13.5" customHeight="1">
      <c r="A2" s="2" t="str">
        <f>Entidades!$A$1</f>
        <v>Entidad</v>
      </c>
      <c r="B2" s="26" t="str">
        <f>Entidades!A4</f>
        <v>motor</v>
      </c>
      <c r="C2" s="26"/>
      <c r="D2" s="26"/>
      <c r="E2" s="27"/>
    </row>
    <row r="3" spans="1:20">
      <c r="A3" s="3" t="str">
        <f>Entidades!$B$1</f>
        <v>Desripción</v>
      </c>
      <c r="B3" s="28" t="str">
        <f>Entidades!B4</f>
        <v>Entidad que contiene la información del tipo de motor de una aeronave. Contiene identificador y nombre.</v>
      </c>
      <c r="C3" s="28"/>
      <c r="D3" s="28"/>
      <c r="E3" s="29"/>
    </row>
    <row r="4" spans="1:20">
      <c r="A4" s="21" t="s">
        <v>29</v>
      </c>
      <c r="B4" s="22"/>
      <c r="C4" s="22"/>
      <c r="D4" s="22"/>
      <c r="E4" s="22"/>
      <c r="F4" s="22"/>
      <c r="G4" s="22"/>
      <c r="H4" s="22"/>
      <c r="I4" s="22"/>
      <c r="J4" s="22"/>
      <c r="K4" s="22"/>
      <c r="L4" s="22"/>
      <c r="M4" s="22"/>
      <c r="N4" s="22"/>
      <c r="O4" s="22"/>
      <c r="P4" s="22"/>
      <c r="Q4" s="22"/>
      <c r="R4" s="22"/>
      <c r="S4" s="22"/>
      <c r="T4" s="23"/>
    </row>
    <row r="5" spans="1:20" s="5" customFormat="1">
      <c r="A5" s="17" t="s">
        <v>30</v>
      </c>
      <c r="B5" s="16" t="s">
        <v>31</v>
      </c>
      <c r="C5" s="16" t="s">
        <v>32</v>
      </c>
      <c r="D5" s="16" t="s">
        <v>33</v>
      </c>
      <c r="E5" s="16" t="s">
        <v>34</v>
      </c>
      <c r="F5" s="16" t="s">
        <v>35</v>
      </c>
      <c r="G5" s="16" t="s">
        <v>36</v>
      </c>
      <c r="H5" s="24" t="s">
        <v>37</v>
      </c>
      <c r="I5" s="16" t="s">
        <v>38</v>
      </c>
      <c r="J5" s="16"/>
      <c r="K5" s="16"/>
      <c r="L5" s="16" t="s">
        <v>39</v>
      </c>
      <c r="M5" s="16"/>
      <c r="N5" s="16" t="s">
        <v>40</v>
      </c>
      <c r="O5" s="16"/>
      <c r="P5" s="16" t="s">
        <v>41</v>
      </c>
      <c r="Q5" s="16"/>
      <c r="R5" s="16"/>
      <c r="S5" s="16" t="s">
        <v>42</v>
      </c>
      <c r="T5" s="30" t="s">
        <v>43</v>
      </c>
    </row>
    <row r="6" spans="1:20" s="5" customFormat="1">
      <c r="A6" s="18"/>
      <c r="B6" s="19"/>
      <c r="C6" s="19"/>
      <c r="D6" s="19"/>
      <c r="E6" s="19"/>
      <c r="F6" s="19"/>
      <c r="G6" s="19"/>
      <c r="H6" s="25"/>
      <c r="I6" s="4" t="s">
        <v>44</v>
      </c>
      <c r="J6" s="4" t="s">
        <v>0</v>
      </c>
      <c r="K6" s="4" t="s">
        <v>45</v>
      </c>
      <c r="L6" s="4" t="s">
        <v>46</v>
      </c>
      <c r="M6" s="4" t="s">
        <v>47</v>
      </c>
      <c r="N6" s="4" t="s">
        <v>48</v>
      </c>
      <c r="O6" s="4" t="s">
        <v>49</v>
      </c>
      <c r="P6" s="4" t="s">
        <v>50</v>
      </c>
      <c r="Q6" s="4" t="s">
        <v>51</v>
      </c>
      <c r="R6" s="4" t="s">
        <v>52</v>
      </c>
      <c r="S6" s="19"/>
      <c r="T6" s="31"/>
    </row>
    <row r="7" spans="1:20" ht="27">
      <c r="A7" s="37" t="s">
        <v>53</v>
      </c>
      <c r="B7" s="38" t="s">
        <v>54</v>
      </c>
      <c r="C7" s="38">
        <v>36</v>
      </c>
      <c r="D7" s="38" t="s">
        <v>55</v>
      </c>
      <c r="E7" s="38" t="s">
        <v>55</v>
      </c>
      <c r="F7" s="38" t="s">
        <v>56</v>
      </c>
      <c r="G7" s="38" t="s">
        <v>57</v>
      </c>
      <c r="H7" s="38" t="s">
        <v>57</v>
      </c>
      <c r="I7" s="38" t="s">
        <v>56</v>
      </c>
      <c r="J7" s="38" t="s">
        <v>55</v>
      </c>
      <c r="K7" s="38" t="s">
        <v>55</v>
      </c>
      <c r="L7" s="38" t="s">
        <v>56</v>
      </c>
      <c r="M7" s="38" t="s">
        <v>55</v>
      </c>
      <c r="N7" s="38" t="s">
        <v>56</v>
      </c>
      <c r="O7" s="38" t="s">
        <v>55</v>
      </c>
      <c r="P7" s="38" t="s">
        <v>57</v>
      </c>
      <c r="Q7" s="38" t="s">
        <v>58</v>
      </c>
      <c r="R7" s="38" t="s">
        <v>58</v>
      </c>
      <c r="S7" s="38" t="s">
        <v>55</v>
      </c>
      <c r="T7" s="38" t="s">
        <v>102</v>
      </c>
    </row>
    <row r="8" spans="1:20" ht="27">
      <c r="A8" s="39" t="s">
        <v>78</v>
      </c>
      <c r="B8" s="40" t="s">
        <v>54</v>
      </c>
      <c r="C8" s="40">
        <v>3</v>
      </c>
      <c r="D8" s="40" t="s">
        <v>55</v>
      </c>
      <c r="E8" s="40" t="s">
        <v>55</v>
      </c>
      <c r="F8" s="40" t="s">
        <v>56</v>
      </c>
      <c r="G8" s="40" t="s">
        <v>57</v>
      </c>
      <c r="H8" s="40" t="s">
        <v>56</v>
      </c>
      <c r="I8" s="40" t="s">
        <v>56</v>
      </c>
      <c r="J8" s="40" t="s">
        <v>55</v>
      </c>
      <c r="K8" s="40" t="s">
        <v>55</v>
      </c>
      <c r="L8" s="40" t="s">
        <v>56</v>
      </c>
      <c r="M8" s="40" t="s">
        <v>55</v>
      </c>
      <c r="N8" s="40" t="s">
        <v>56</v>
      </c>
      <c r="O8" s="40" t="s">
        <v>55</v>
      </c>
      <c r="P8" s="40" t="s">
        <v>56</v>
      </c>
      <c r="Q8" s="40" t="s">
        <v>55</v>
      </c>
      <c r="R8" s="40" t="s">
        <v>55</v>
      </c>
      <c r="S8" s="40" t="s">
        <v>55</v>
      </c>
      <c r="T8" s="40" t="s">
        <v>103</v>
      </c>
    </row>
  </sheetData>
  <mergeCells count="18">
    <mergeCell ref="A1:E1"/>
    <mergeCell ref="B2:E2"/>
    <mergeCell ref="B3:E3"/>
    <mergeCell ref="A4:T4"/>
    <mergeCell ref="A5:A6"/>
    <mergeCell ref="B5:B6"/>
    <mergeCell ref="C5:C6"/>
    <mergeCell ref="D5:D6"/>
    <mergeCell ref="E5:E6"/>
    <mergeCell ref="F5:F6"/>
    <mergeCell ref="S5:S6"/>
    <mergeCell ref="T5:T6"/>
    <mergeCell ref="G5:G6"/>
    <mergeCell ref="H5:H6"/>
    <mergeCell ref="I5:K5"/>
    <mergeCell ref="L5:M5"/>
    <mergeCell ref="N5:O5"/>
    <mergeCell ref="P5:R5"/>
  </mergeCells>
  <hyperlinks>
    <hyperlink ref="A1:E1" location="Clases!A1" display="&lt;-Volver al inicio" xr:uid="{E58035CC-312D-497E-BA50-D509A7D68E1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189A5-837A-4DAE-B4E1-20108A7FF71F}">
  <dimension ref="A1:T8"/>
  <sheetViews>
    <sheetView topLeftCell="O1" zoomScaleNormal="100" workbookViewId="0">
      <pane ySplit="1" topLeftCell="C2" activePane="bottomLeft" state="frozen"/>
      <selection pane="bottomLeft" activeCell="P26" sqref="P26"/>
    </sheetView>
  </sheetViews>
  <sheetFormatPr defaultColWidth="19.7109375" defaultRowHeight="15"/>
  <cols>
    <col min="1" max="1" width="15.7109375" style="1" bestFit="1" customWidth="1"/>
    <col min="2" max="2" width="17.5703125" style="1" bestFit="1" customWidth="1"/>
    <col min="3" max="3" width="12.5703125" style="1" bestFit="1" customWidth="1"/>
    <col min="4" max="4" width="38" style="1" bestFit="1" customWidth="1"/>
    <col min="5" max="5" width="39.5703125" style="1" bestFit="1" customWidth="1"/>
    <col min="6" max="6" width="26.5703125" style="1" bestFit="1" customWidth="1"/>
    <col min="7" max="7" width="22.28515625" style="1" bestFit="1" customWidth="1"/>
    <col min="8" max="8" width="46.5703125" style="1" bestFit="1" customWidth="1"/>
    <col min="9" max="9" width="23.7109375" style="1" bestFit="1" customWidth="1"/>
    <col min="10" max="10" width="11.28515625" style="1" bestFit="1" customWidth="1"/>
    <col min="11" max="11" width="15.42578125" style="1" bestFit="1" customWidth="1"/>
    <col min="12" max="12" width="62.7109375" style="1" bestFit="1" customWidth="1"/>
    <col min="13" max="13" width="58.85546875" style="1" bestFit="1" customWidth="1"/>
    <col min="14" max="14" width="62.42578125" style="1" bestFit="1" customWidth="1"/>
    <col min="15" max="15" width="58.5703125" style="1" bestFit="1" customWidth="1"/>
    <col min="16" max="16" width="59.85546875" style="1" bestFit="1" customWidth="1"/>
    <col min="17" max="17" width="7.7109375" style="1" bestFit="1" customWidth="1"/>
    <col min="18" max="18" width="56.28515625" style="1" bestFit="1" customWidth="1"/>
    <col min="19" max="19" width="8.140625" style="1" bestFit="1" customWidth="1"/>
    <col min="20" max="20" width="31.42578125" style="1" customWidth="1"/>
    <col min="21" max="16384" width="19.7109375" style="1"/>
  </cols>
  <sheetData>
    <row r="1" spans="1:20">
      <c r="A1" s="20" t="s">
        <v>28</v>
      </c>
      <c r="B1" s="20"/>
      <c r="C1" s="20"/>
      <c r="D1" s="20"/>
      <c r="E1" s="20"/>
    </row>
    <row r="2" spans="1:20" ht="13.5" customHeight="1">
      <c r="A2" s="2" t="str">
        <f>Entidades!$A$1</f>
        <v>Entidad</v>
      </c>
      <c r="B2" s="26" t="str">
        <f>Entidades!A5</f>
        <v>fabricante</v>
      </c>
      <c r="C2" s="26"/>
      <c r="D2" s="26"/>
      <c r="E2" s="27"/>
    </row>
    <row r="3" spans="1:20">
      <c r="A3" s="3" t="str">
        <f>Entidades!$B$1</f>
        <v>Desripción</v>
      </c>
      <c r="B3" s="28" t="str">
        <f>Entidades!B5</f>
        <v>Entidad que contiene la información de un fabricante de aeronaves. Contiene identificador y nombre.</v>
      </c>
      <c r="C3" s="28"/>
      <c r="D3" s="28"/>
      <c r="E3" s="29"/>
    </row>
    <row r="4" spans="1:20">
      <c r="A4" s="21" t="s">
        <v>29</v>
      </c>
      <c r="B4" s="22"/>
      <c r="C4" s="22"/>
      <c r="D4" s="22"/>
      <c r="E4" s="22"/>
      <c r="F4" s="22"/>
      <c r="G4" s="22"/>
      <c r="H4" s="22"/>
      <c r="I4" s="22"/>
      <c r="J4" s="22"/>
      <c r="K4" s="22"/>
      <c r="L4" s="22"/>
      <c r="M4" s="22"/>
      <c r="N4" s="22"/>
      <c r="O4" s="22"/>
      <c r="P4" s="22"/>
      <c r="Q4" s="22"/>
      <c r="R4" s="22"/>
      <c r="S4" s="22"/>
      <c r="T4" s="23"/>
    </row>
    <row r="5" spans="1:20" s="5" customFormat="1">
      <c r="A5" s="17" t="s">
        <v>30</v>
      </c>
      <c r="B5" s="16" t="s">
        <v>31</v>
      </c>
      <c r="C5" s="16" t="s">
        <v>32</v>
      </c>
      <c r="D5" s="16" t="s">
        <v>33</v>
      </c>
      <c r="E5" s="16" t="s">
        <v>34</v>
      </c>
      <c r="F5" s="16" t="s">
        <v>35</v>
      </c>
      <c r="G5" s="16" t="s">
        <v>36</v>
      </c>
      <c r="H5" s="24" t="s">
        <v>37</v>
      </c>
      <c r="I5" s="16" t="s">
        <v>38</v>
      </c>
      <c r="J5" s="16"/>
      <c r="K5" s="16"/>
      <c r="L5" s="16" t="s">
        <v>39</v>
      </c>
      <c r="M5" s="16"/>
      <c r="N5" s="16" t="s">
        <v>40</v>
      </c>
      <c r="O5" s="16"/>
      <c r="P5" s="16" t="s">
        <v>41</v>
      </c>
      <c r="Q5" s="16"/>
      <c r="R5" s="16"/>
      <c r="S5" s="16" t="s">
        <v>42</v>
      </c>
      <c r="T5" s="30" t="s">
        <v>43</v>
      </c>
    </row>
    <row r="6" spans="1:20" s="5" customFormat="1">
      <c r="A6" s="18"/>
      <c r="B6" s="19"/>
      <c r="C6" s="19"/>
      <c r="D6" s="19"/>
      <c r="E6" s="19"/>
      <c r="F6" s="19"/>
      <c r="G6" s="19"/>
      <c r="H6" s="25"/>
      <c r="I6" s="4" t="s">
        <v>44</v>
      </c>
      <c r="J6" s="4" t="s">
        <v>0</v>
      </c>
      <c r="K6" s="4" t="s">
        <v>45</v>
      </c>
      <c r="L6" s="4" t="s">
        <v>46</v>
      </c>
      <c r="M6" s="4" t="s">
        <v>47</v>
      </c>
      <c r="N6" s="4" t="s">
        <v>48</v>
      </c>
      <c r="O6" s="4" t="s">
        <v>49</v>
      </c>
      <c r="P6" s="4" t="s">
        <v>50</v>
      </c>
      <c r="Q6" s="4" t="s">
        <v>51</v>
      </c>
      <c r="R6" s="4" t="s">
        <v>52</v>
      </c>
      <c r="S6" s="19"/>
      <c r="T6" s="31"/>
    </row>
    <row r="7" spans="1:20" ht="27">
      <c r="A7" s="37" t="s">
        <v>53</v>
      </c>
      <c r="B7" s="38" t="s">
        <v>54</v>
      </c>
      <c r="C7" s="38">
        <v>36</v>
      </c>
      <c r="D7" s="38" t="s">
        <v>55</v>
      </c>
      <c r="E7" s="38" t="s">
        <v>55</v>
      </c>
      <c r="F7" s="38" t="s">
        <v>56</v>
      </c>
      <c r="G7" s="38" t="s">
        <v>57</v>
      </c>
      <c r="H7" s="38" t="s">
        <v>57</v>
      </c>
      <c r="I7" s="38" t="s">
        <v>56</v>
      </c>
      <c r="J7" s="38" t="s">
        <v>55</v>
      </c>
      <c r="K7" s="38" t="s">
        <v>55</v>
      </c>
      <c r="L7" s="38" t="s">
        <v>56</v>
      </c>
      <c r="M7" s="38" t="s">
        <v>55</v>
      </c>
      <c r="N7" s="38" t="s">
        <v>56</v>
      </c>
      <c r="O7" s="38" t="s">
        <v>55</v>
      </c>
      <c r="P7" s="38" t="s">
        <v>57</v>
      </c>
      <c r="Q7" s="38" t="s">
        <v>58</v>
      </c>
      <c r="R7" s="38" t="s">
        <v>58</v>
      </c>
      <c r="S7" s="38" t="s">
        <v>55</v>
      </c>
      <c r="T7" s="38" t="s">
        <v>104</v>
      </c>
    </row>
    <row r="8" spans="1:20" ht="27">
      <c r="A8" s="39" t="s">
        <v>78</v>
      </c>
      <c r="B8" s="40" t="s">
        <v>54</v>
      </c>
      <c r="C8" s="40">
        <v>50</v>
      </c>
      <c r="D8" s="40" t="s">
        <v>55</v>
      </c>
      <c r="E8" s="40" t="s">
        <v>55</v>
      </c>
      <c r="F8" s="40" t="s">
        <v>56</v>
      </c>
      <c r="G8" s="40" t="s">
        <v>57</v>
      </c>
      <c r="H8" s="40" t="s">
        <v>56</v>
      </c>
      <c r="I8" s="40" t="s">
        <v>56</v>
      </c>
      <c r="J8" s="40" t="s">
        <v>55</v>
      </c>
      <c r="K8" s="40" t="s">
        <v>55</v>
      </c>
      <c r="L8" s="40" t="s">
        <v>56</v>
      </c>
      <c r="M8" s="40" t="s">
        <v>55</v>
      </c>
      <c r="N8" s="40" t="s">
        <v>56</v>
      </c>
      <c r="O8" s="40" t="s">
        <v>55</v>
      </c>
      <c r="P8" s="40" t="s">
        <v>56</v>
      </c>
      <c r="Q8" s="40" t="s">
        <v>55</v>
      </c>
      <c r="R8" s="40" t="s">
        <v>55</v>
      </c>
      <c r="S8" s="40" t="s">
        <v>55</v>
      </c>
      <c r="T8" s="40" t="s">
        <v>105</v>
      </c>
    </row>
  </sheetData>
  <mergeCells count="18">
    <mergeCell ref="A1:E1"/>
    <mergeCell ref="B2:E2"/>
    <mergeCell ref="B3:E3"/>
    <mergeCell ref="A4:T4"/>
    <mergeCell ref="A5:A6"/>
    <mergeCell ref="B5:B6"/>
    <mergeCell ref="C5:C6"/>
    <mergeCell ref="D5:D6"/>
    <mergeCell ref="E5:E6"/>
    <mergeCell ref="F5:F6"/>
    <mergeCell ref="S5:S6"/>
    <mergeCell ref="T5:T6"/>
    <mergeCell ref="G5:G6"/>
    <mergeCell ref="H5:H6"/>
    <mergeCell ref="I5:K5"/>
    <mergeCell ref="L5:M5"/>
    <mergeCell ref="N5:O5"/>
    <mergeCell ref="P5:R5"/>
  </mergeCells>
  <hyperlinks>
    <hyperlink ref="A1:E1" location="Clases!A1" display="&lt;-Volver al inicio" xr:uid="{837BAE74-6969-4F93-B44D-C3A8B7FCACF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9F4D4-2462-4D41-AC90-20B96B1D4970}">
  <dimension ref="A1:T13"/>
  <sheetViews>
    <sheetView topLeftCell="O1" zoomScaleNormal="100" workbookViewId="0">
      <pane ySplit="1" topLeftCell="A3" activePane="bottomLeft" state="frozen"/>
      <selection pane="bottomLeft" activeCell="T19" sqref="T19"/>
    </sheetView>
  </sheetViews>
  <sheetFormatPr defaultColWidth="19.7109375" defaultRowHeight="15"/>
  <cols>
    <col min="1" max="1" width="20.42578125" style="1" customWidth="1"/>
    <col min="2" max="2" width="17.5703125" style="1" bestFit="1" customWidth="1"/>
    <col min="3" max="3" width="12.5703125" style="1" bestFit="1" customWidth="1"/>
    <col min="4" max="4" width="38" style="1" bestFit="1" customWidth="1"/>
    <col min="5" max="5" width="65.85546875" style="1" customWidth="1"/>
    <col min="6" max="6" width="26.5703125" style="1" bestFit="1" customWidth="1"/>
    <col min="7" max="7" width="22.28515625" style="1" bestFit="1" customWidth="1"/>
    <col min="8" max="8" width="46.5703125" style="1" bestFit="1" customWidth="1"/>
    <col min="9" max="9" width="23.7109375" style="1" bestFit="1" customWidth="1"/>
    <col min="10" max="10" width="11.28515625" style="1" bestFit="1" customWidth="1"/>
    <col min="11" max="11" width="15.42578125" style="1" bestFit="1" customWidth="1"/>
    <col min="12" max="12" width="62.7109375" style="1" bestFit="1" customWidth="1"/>
    <col min="13" max="13" width="58.85546875" style="1" bestFit="1" customWidth="1"/>
    <col min="14" max="14" width="62.42578125" style="1" bestFit="1" customWidth="1"/>
    <col min="15" max="15" width="58.5703125" style="1" bestFit="1" customWidth="1"/>
    <col min="16" max="16" width="59.85546875" style="1" bestFit="1" customWidth="1"/>
    <col min="17" max="17" width="7.7109375" style="1" bestFit="1" customWidth="1"/>
    <col min="18" max="18" width="56.28515625" style="1" bestFit="1" customWidth="1"/>
    <col min="19" max="19" width="8.140625" style="1" bestFit="1" customWidth="1"/>
    <col min="20" max="20" width="31.42578125" style="1" customWidth="1"/>
    <col min="21" max="16384" width="19.7109375" style="1"/>
  </cols>
  <sheetData>
    <row r="1" spans="1:20">
      <c r="A1" s="20" t="s">
        <v>28</v>
      </c>
      <c r="B1" s="20"/>
      <c r="C1" s="20"/>
      <c r="D1" s="20"/>
      <c r="E1" s="20"/>
    </row>
    <row r="2" spans="1:20" ht="13.5" customHeight="1">
      <c r="A2" s="2" t="str">
        <f>Entidades!$A$1</f>
        <v>Entidad</v>
      </c>
      <c r="B2" s="26" t="str">
        <f>Entidades!A6</f>
        <v>modelo</v>
      </c>
      <c r="C2" s="26"/>
      <c r="D2" s="26"/>
      <c r="E2" s="27"/>
    </row>
    <row r="3" spans="1:20">
      <c r="A3" s="3" t="str">
        <f>Entidades!$B$1</f>
        <v>Desripción</v>
      </c>
      <c r="B3" s="28" t="str">
        <f>Entidades!B6</f>
        <v>Entidad que contiene la información de un modelo de aeronave. Incluye nombre, tipo de aeronave, familia, tipo de motor, fabricante y estado de activación.</v>
      </c>
      <c r="C3" s="28"/>
      <c r="D3" s="28"/>
      <c r="E3" s="29"/>
    </row>
    <row r="4" spans="1:20">
      <c r="A4" s="21" t="s">
        <v>29</v>
      </c>
      <c r="B4" s="22"/>
      <c r="C4" s="22"/>
      <c r="D4" s="22"/>
      <c r="E4" s="22"/>
      <c r="F4" s="22"/>
      <c r="G4" s="22"/>
      <c r="H4" s="22"/>
      <c r="I4" s="22"/>
      <c r="J4" s="22"/>
      <c r="K4" s="22"/>
      <c r="L4" s="22"/>
      <c r="M4" s="22"/>
      <c r="N4" s="22"/>
      <c r="O4" s="22"/>
      <c r="P4" s="22"/>
      <c r="Q4" s="22"/>
      <c r="R4" s="22"/>
      <c r="S4" s="22"/>
      <c r="T4" s="23"/>
    </row>
    <row r="5" spans="1:20" s="5" customFormat="1">
      <c r="A5" s="17" t="s">
        <v>30</v>
      </c>
      <c r="B5" s="16" t="s">
        <v>31</v>
      </c>
      <c r="C5" s="16" t="s">
        <v>32</v>
      </c>
      <c r="D5" s="16" t="s">
        <v>33</v>
      </c>
      <c r="E5" s="16" t="s">
        <v>34</v>
      </c>
      <c r="F5" s="16" t="s">
        <v>35</v>
      </c>
      <c r="G5" s="16" t="s">
        <v>36</v>
      </c>
      <c r="H5" s="24" t="s">
        <v>37</v>
      </c>
      <c r="I5" s="16" t="s">
        <v>38</v>
      </c>
      <c r="J5" s="16"/>
      <c r="K5" s="16"/>
      <c r="L5" s="16" t="s">
        <v>39</v>
      </c>
      <c r="M5" s="16"/>
      <c r="N5" s="16" t="s">
        <v>40</v>
      </c>
      <c r="O5" s="16"/>
      <c r="P5" s="16" t="s">
        <v>41</v>
      </c>
      <c r="Q5" s="16"/>
      <c r="R5" s="16"/>
      <c r="S5" s="16" t="s">
        <v>42</v>
      </c>
      <c r="T5" s="30" t="s">
        <v>43</v>
      </c>
    </row>
    <row r="6" spans="1:20" s="5" customFormat="1">
      <c r="A6" s="18"/>
      <c r="B6" s="19"/>
      <c r="C6" s="19"/>
      <c r="D6" s="19"/>
      <c r="E6" s="19"/>
      <c r="F6" s="19"/>
      <c r="G6" s="19"/>
      <c r="H6" s="25"/>
      <c r="I6" s="4" t="s">
        <v>44</v>
      </c>
      <c r="J6" s="4" t="s">
        <v>0</v>
      </c>
      <c r="K6" s="4" t="s">
        <v>45</v>
      </c>
      <c r="L6" s="4" t="s">
        <v>46</v>
      </c>
      <c r="M6" s="4" t="s">
        <v>47</v>
      </c>
      <c r="N6" s="4" t="s">
        <v>48</v>
      </c>
      <c r="O6" s="4" t="s">
        <v>49</v>
      </c>
      <c r="P6" s="4" t="s">
        <v>50</v>
      </c>
      <c r="Q6" s="4" t="s">
        <v>51</v>
      </c>
      <c r="R6" s="4" t="s">
        <v>52</v>
      </c>
      <c r="S6" s="19"/>
      <c r="T6" s="31"/>
    </row>
    <row r="7" spans="1:20" ht="27">
      <c r="A7" s="37" t="s">
        <v>53</v>
      </c>
      <c r="B7" s="38" t="s">
        <v>54</v>
      </c>
      <c r="C7" s="38">
        <v>36</v>
      </c>
      <c r="D7" s="38" t="s">
        <v>55</v>
      </c>
      <c r="E7" s="38" t="s">
        <v>55</v>
      </c>
      <c r="F7" s="38" t="s">
        <v>56</v>
      </c>
      <c r="G7" s="38" t="s">
        <v>57</v>
      </c>
      <c r="H7" s="38" t="s">
        <v>57</v>
      </c>
      <c r="I7" s="38" t="s">
        <v>56</v>
      </c>
      <c r="J7" s="38" t="s">
        <v>55</v>
      </c>
      <c r="K7" s="38" t="s">
        <v>55</v>
      </c>
      <c r="L7" s="38" t="s">
        <v>56</v>
      </c>
      <c r="M7" s="38" t="s">
        <v>55</v>
      </c>
      <c r="N7" s="38" t="s">
        <v>56</v>
      </c>
      <c r="O7" s="38" t="s">
        <v>55</v>
      </c>
      <c r="P7" s="38" t="s">
        <v>57</v>
      </c>
      <c r="Q7" s="38" t="s">
        <v>58</v>
      </c>
      <c r="R7" s="38" t="s">
        <v>58</v>
      </c>
      <c r="S7" s="38" t="s">
        <v>55</v>
      </c>
      <c r="T7" s="38" t="s">
        <v>106</v>
      </c>
    </row>
    <row r="8" spans="1:20" ht="27">
      <c r="A8" s="39" t="s">
        <v>107</v>
      </c>
      <c r="B8" s="40" t="s">
        <v>54</v>
      </c>
      <c r="C8" s="40">
        <v>8</v>
      </c>
      <c r="D8" s="40" t="s">
        <v>55</v>
      </c>
      <c r="E8" s="40" t="s">
        <v>55</v>
      </c>
      <c r="F8" s="40" t="s">
        <v>56</v>
      </c>
      <c r="G8" s="40" t="s">
        <v>56</v>
      </c>
      <c r="H8" s="40" t="s">
        <v>56</v>
      </c>
      <c r="I8" s="40" t="s">
        <v>56</v>
      </c>
      <c r="J8" s="40" t="s">
        <v>55</v>
      </c>
      <c r="K8" s="40" t="s">
        <v>55</v>
      </c>
      <c r="L8" s="40" t="s">
        <v>56</v>
      </c>
      <c r="M8" s="40" t="s">
        <v>55</v>
      </c>
      <c r="N8" s="40" t="s">
        <v>56</v>
      </c>
      <c r="O8" s="40" t="s">
        <v>55</v>
      </c>
      <c r="P8" s="40" t="s">
        <v>56</v>
      </c>
      <c r="Q8" s="40" t="s">
        <v>55</v>
      </c>
      <c r="R8" s="40" t="s">
        <v>55</v>
      </c>
      <c r="S8" s="40" t="s">
        <v>55</v>
      </c>
      <c r="T8" s="40" t="s">
        <v>108</v>
      </c>
    </row>
    <row r="9" spans="1:20" ht="25.5">
      <c r="A9" s="39" t="s">
        <v>109</v>
      </c>
      <c r="B9" s="40" t="s">
        <v>54</v>
      </c>
      <c r="C9" s="40">
        <v>50</v>
      </c>
      <c r="D9" s="40" t="s">
        <v>55</v>
      </c>
      <c r="E9" s="40" t="s">
        <v>55</v>
      </c>
      <c r="F9" s="40" t="s">
        <v>56</v>
      </c>
      <c r="G9" s="40" t="s">
        <v>56</v>
      </c>
      <c r="H9" s="40" t="s">
        <v>56</v>
      </c>
      <c r="I9" s="40" t="s">
        <v>56</v>
      </c>
      <c r="J9" s="40" t="s">
        <v>55</v>
      </c>
      <c r="K9" s="40" t="s">
        <v>55</v>
      </c>
      <c r="L9" s="40" t="s">
        <v>56</v>
      </c>
      <c r="M9" s="40" t="s">
        <v>55</v>
      </c>
      <c r="N9" s="40" t="s">
        <v>56</v>
      </c>
      <c r="O9" s="40" t="s">
        <v>55</v>
      </c>
      <c r="P9" s="40" t="s">
        <v>56</v>
      </c>
      <c r="Q9" s="40" t="s">
        <v>55</v>
      </c>
      <c r="R9" s="40" t="s">
        <v>55</v>
      </c>
      <c r="S9" s="40" t="s">
        <v>55</v>
      </c>
      <c r="T9" s="40" t="s">
        <v>110</v>
      </c>
    </row>
    <row r="10" spans="1:20" ht="27">
      <c r="A10" s="39" t="s">
        <v>111</v>
      </c>
      <c r="B10" s="40" t="s">
        <v>54</v>
      </c>
      <c r="C10" s="40">
        <v>36</v>
      </c>
      <c r="D10" s="40" t="s">
        <v>55</v>
      </c>
      <c r="E10" s="40" t="s">
        <v>55</v>
      </c>
      <c r="F10" s="40" t="s">
        <v>56</v>
      </c>
      <c r="G10" s="40" t="s">
        <v>56</v>
      </c>
      <c r="H10" s="40" t="s">
        <v>56</v>
      </c>
      <c r="I10" s="40" t="s">
        <v>57</v>
      </c>
      <c r="J10" s="40" t="s">
        <v>112</v>
      </c>
      <c r="K10" s="40" t="s">
        <v>53</v>
      </c>
      <c r="L10" s="40" t="s">
        <v>56</v>
      </c>
      <c r="M10" s="40" t="s">
        <v>55</v>
      </c>
      <c r="N10" s="40" t="s">
        <v>56</v>
      </c>
      <c r="O10" s="40" t="s">
        <v>55</v>
      </c>
      <c r="P10" s="40" t="s">
        <v>56</v>
      </c>
      <c r="Q10" s="40" t="s">
        <v>55</v>
      </c>
      <c r="R10" s="40" t="s">
        <v>55</v>
      </c>
      <c r="S10" s="40" t="s">
        <v>55</v>
      </c>
      <c r="T10" s="40" t="s">
        <v>113</v>
      </c>
    </row>
    <row r="11" spans="1:20">
      <c r="A11" s="39" t="s">
        <v>114</v>
      </c>
      <c r="B11" s="40" t="s">
        <v>54</v>
      </c>
      <c r="C11" s="40">
        <v>20</v>
      </c>
      <c r="D11" s="40" t="s">
        <v>55</v>
      </c>
      <c r="E11" s="40" t="s">
        <v>55</v>
      </c>
      <c r="F11" s="40" t="s">
        <v>56</v>
      </c>
      <c r="G11" s="40" t="s">
        <v>56</v>
      </c>
      <c r="H11" s="40" t="s">
        <v>56</v>
      </c>
      <c r="I11" s="40" t="s">
        <v>56</v>
      </c>
      <c r="J11" s="40" t="s">
        <v>55</v>
      </c>
      <c r="K11" s="40" t="s">
        <v>55</v>
      </c>
      <c r="L11" s="40" t="s">
        <v>56</v>
      </c>
      <c r="M11" s="40" t="s">
        <v>55</v>
      </c>
      <c r="N11" s="40" t="s">
        <v>56</v>
      </c>
      <c r="O11" s="40" t="s">
        <v>55</v>
      </c>
      <c r="P11" s="40" t="s">
        <v>56</v>
      </c>
      <c r="Q11" s="40" t="s">
        <v>55</v>
      </c>
      <c r="R11" s="40" t="s">
        <v>55</v>
      </c>
      <c r="S11" s="40" t="s">
        <v>55</v>
      </c>
      <c r="T11" s="40" t="s">
        <v>115</v>
      </c>
    </row>
    <row r="12" spans="1:20" ht="27">
      <c r="A12" s="39" t="s">
        <v>116</v>
      </c>
      <c r="B12" s="40" t="s">
        <v>54</v>
      </c>
      <c r="C12" s="40">
        <v>36</v>
      </c>
      <c r="D12" s="40" t="s">
        <v>55</v>
      </c>
      <c r="E12" s="40" t="s">
        <v>55</v>
      </c>
      <c r="F12" s="40" t="s">
        <v>56</v>
      </c>
      <c r="G12" s="40" t="s">
        <v>56</v>
      </c>
      <c r="H12" s="40" t="s">
        <v>56</v>
      </c>
      <c r="I12" s="40" t="s">
        <v>57</v>
      </c>
      <c r="J12" s="40" t="s">
        <v>117</v>
      </c>
      <c r="K12" s="40" t="s">
        <v>53</v>
      </c>
      <c r="L12" s="40" t="s">
        <v>56</v>
      </c>
      <c r="M12" s="40" t="s">
        <v>55</v>
      </c>
      <c r="N12" s="40" t="s">
        <v>56</v>
      </c>
      <c r="O12" s="40" t="s">
        <v>55</v>
      </c>
      <c r="P12" s="40" t="s">
        <v>56</v>
      </c>
      <c r="Q12" s="40" t="s">
        <v>55</v>
      </c>
      <c r="R12" s="40" t="s">
        <v>55</v>
      </c>
      <c r="S12" s="40" t="s">
        <v>55</v>
      </c>
      <c r="T12" s="40" t="s">
        <v>118</v>
      </c>
    </row>
    <row r="13" spans="1:20" ht="27">
      <c r="A13" s="39" t="s">
        <v>64</v>
      </c>
      <c r="B13" s="40" t="s">
        <v>65</v>
      </c>
      <c r="C13" s="40" t="s">
        <v>55</v>
      </c>
      <c r="D13" s="40" t="s">
        <v>55</v>
      </c>
      <c r="E13" s="40" t="s">
        <v>55</v>
      </c>
      <c r="F13" s="40" t="s">
        <v>56</v>
      </c>
      <c r="G13" s="40" t="s">
        <v>57</v>
      </c>
      <c r="H13" s="40" t="s">
        <v>56</v>
      </c>
      <c r="I13" s="40" t="s">
        <v>56</v>
      </c>
      <c r="J13" s="40" t="s">
        <v>55</v>
      </c>
      <c r="K13" s="40" t="s">
        <v>55</v>
      </c>
      <c r="L13" s="40" t="s">
        <v>56</v>
      </c>
      <c r="M13" s="40" t="s">
        <v>55</v>
      </c>
      <c r="N13" s="40" t="s">
        <v>56</v>
      </c>
      <c r="O13" s="40" t="s">
        <v>55</v>
      </c>
      <c r="P13" s="40" t="s">
        <v>56</v>
      </c>
      <c r="Q13" s="40" t="s">
        <v>55</v>
      </c>
      <c r="R13" s="40" t="s">
        <v>55</v>
      </c>
      <c r="S13" s="40" t="s">
        <v>55</v>
      </c>
      <c r="T13" s="40" t="s">
        <v>119</v>
      </c>
    </row>
  </sheetData>
  <mergeCells count="18">
    <mergeCell ref="A1:E1"/>
    <mergeCell ref="B2:E2"/>
    <mergeCell ref="B3:E3"/>
    <mergeCell ref="A4:T4"/>
    <mergeCell ref="A5:A6"/>
    <mergeCell ref="B5:B6"/>
    <mergeCell ref="C5:C6"/>
    <mergeCell ref="D5:D6"/>
    <mergeCell ref="E5:E6"/>
    <mergeCell ref="F5:F6"/>
    <mergeCell ref="S5:S6"/>
    <mergeCell ref="T5:T6"/>
    <mergeCell ref="G5:G6"/>
    <mergeCell ref="H5:H6"/>
    <mergeCell ref="I5:K5"/>
    <mergeCell ref="L5:M5"/>
    <mergeCell ref="N5:O5"/>
    <mergeCell ref="P5:R5"/>
  </mergeCells>
  <hyperlinks>
    <hyperlink ref="A1:E1" location="Clases!A1" display="&lt;-Volver al inicio" xr:uid="{67AB54EF-1C33-4C40-8C44-4E010F14F267}"/>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92C71-432B-4F1E-9CAF-2539AF3F1D2C}">
  <dimension ref="A1:T10"/>
  <sheetViews>
    <sheetView topLeftCell="O1" zoomScaleNormal="100" workbookViewId="0">
      <pane ySplit="1" topLeftCell="E2" activePane="bottomLeft" state="frozen"/>
      <selection pane="bottomLeft" activeCell="G18" sqref="G18"/>
    </sheetView>
  </sheetViews>
  <sheetFormatPr defaultColWidth="19.7109375" defaultRowHeight="15"/>
  <cols>
    <col min="1" max="1" width="19.85546875" style="1" customWidth="1"/>
    <col min="2" max="2" width="17.5703125" style="1" bestFit="1" customWidth="1"/>
    <col min="3" max="3" width="12.5703125" style="1" bestFit="1" customWidth="1"/>
    <col min="4" max="4" width="38" style="1" bestFit="1" customWidth="1"/>
    <col min="5" max="5" width="65.85546875" style="1" customWidth="1"/>
    <col min="6" max="6" width="26.5703125" style="1" bestFit="1" customWidth="1"/>
    <col min="7" max="7" width="22.28515625" style="1" bestFit="1" customWidth="1"/>
    <col min="8" max="8" width="41.7109375" style="1" customWidth="1"/>
    <col min="9" max="9" width="23.7109375" style="1" bestFit="1" customWidth="1"/>
    <col min="10" max="10" width="13.140625" style="1" customWidth="1"/>
    <col min="11" max="11" width="15.42578125" style="1" bestFit="1" customWidth="1"/>
    <col min="12" max="12" width="62.7109375" style="1" bestFit="1" customWidth="1"/>
    <col min="13" max="13" width="58.85546875" style="1" bestFit="1" customWidth="1"/>
    <col min="14" max="14" width="62.42578125" style="1" bestFit="1" customWidth="1"/>
    <col min="15" max="15" width="58.5703125" style="1" bestFit="1" customWidth="1"/>
    <col min="16" max="16" width="59.85546875" style="1" bestFit="1" customWidth="1"/>
    <col min="17" max="17" width="10.28515625" style="1" customWidth="1"/>
    <col min="18" max="18" width="56.28515625" style="1" bestFit="1" customWidth="1"/>
    <col min="19" max="19" width="8.140625" style="1" bestFit="1" customWidth="1"/>
    <col min="20" max="20" width="39.5703125" style="1" customWidth="1"/>
    <col min="21" max="16384" width="19.7109375" style="1"/>
  </cols>
  <sheetData>
    <row r="1" spans="1:20">
      <c r="A1" s="20" t="s">
        <v>28</v>
      </c>
      <c r="B1" s="20"/>
      <c r="C1" s="20"/>
      <c r="D1" s="20"/>
      <c r="E1" s="20"/>
    </row>
    <row r="2" spans="1:20" ht="13.5" customHeight="1">
      <c r="A2" s="2" t="str">
        <f>Entidades!$A$1</f>
        <v>Entidad</v>
      </c>
      <c r="B2" s="26" t="str">
        <f>Entidades!A7</f>
        <v>matricula</v>
      </c>
      <c r="C2" s="26"/>
      <c r="D2" s="26"/>
      <c r="E2" s="27"/>
    </row>
    <row r="3" spans="1:20">
      <c r="A3" s="3" t="str">
        <f>Entidades!$B$1</f>
        <v>Desripción</v>
      </c>
      <c r="B3" s="28" t="str">
        <f>Entidades!B7</f>
        <v>Entidad que contiene la información de la matrícula de una aeronave específica. Vincula un número de cola con un modelo de aeronave y una aerolínea.</v>
      </c>
      <c r="C3" s="28"/>
      <c r="D3" s="28"/>
      <c r="E3" s="29"/>
    </row>
    <row r="4" spans="1:20">
      <c r="A4" s="21" t="s">
        <v>29</v>
      </c>
      <c r="B4" s="22"/>
      <c r="C4" s="22"/>
      <c r="D4" s="22"/>
      <c r="E4" s="22"/>
      <c r="F4" s="22"/>
      <c r="G4" s="22"/>
      <c r="H4" s="22"/>
      <c r="I4" s="22"/>
      <c r="J4" s="22"/>
      <c r="K4" s="22"/>
      <c r="L4" s="22"/>
      <c r="M4" s="22"/>
      <c r="N4" s="22"/>
      <c r="O4" s="22"/>
      <c r="P4" s="22"/>
      <c r="Q4" s="22"/>
      <c r="R4" s="22"/>
      <c r="S4" s="22"/>
      <c r="T4" s="23"/>
    </row>
    <row r="5" spans="1:20" s="5" customFormat="1">
      <c r="A5" s="17" t="s">
        <v>30</v>
      </c>
      <c r="B5" s="16" t="s">
        <v>31</v>
      </c>
      <c r="C5" s="16" t="s">
        <v>32</v>
      </c>
      <c r="D5" s="16" t="s">
        <v>33</v>
      </c>
      <c r="E5" s="16" t="s">
        <v>34</v>
      </c>
      <c r="F5" s="16" t="s">
        <v>35</v>
      </c>
      <c r="G5" s="16" t="s">
        <v>36</v>
      </c>
      <c r="H5" s="24" t="s">
        <v>37</v>
      </c>
      <c r="I5" s="16" t="s">
        <v>38</v>
      </c>
      <c r="J5" s="16"/>
      <c r="K5" s="16"/>
      <c r="L5" s="16" t="s">
        <v>39</v>
      </c>
      <c r="M5" s="16"/>
      <c r="N5" s="16" t="s">
        <v>40</v>
      </c>
      <c r="O5" s="16"/>
      <c r="P5" s="16" t="s">
        <v>41</v>
      </c>
      <c r="Q5" s="16"/>
      <c r="R5" s="16"/>
      <c r="S5" s="16" t="s">
        <v>42</v>
      </c>
      <c r="T5" s="30" t="s">
        <v>43</v>
      </c>
    </row>
    <row r="6" spans="1:20" s="5" customFormat="1">
      <c r="A6" s="18"/>
      <c r="B6" s="19"/>
      <c r="C6" s="19"/>
      <c r="D6" s="19"/>
      <c r="E6" s="19"/>
      <c r="F6" s="19"/>
      <c r="G6" s="19"/>
      <c r="H6" s="25"/>
      <c r="I6" s="4" t="s">
        <v>44</v>
      </c>
      <c r="J6" s="4" t="s">
        <v>0</v>
      </c>
      <c r="K6" s="4" t="s">
        <v>45</v>
      </c>
      <c r="L6" s="4" t="s">
        <v>46</v>
      </c>
      <c r="M6" s="4" t="s">
        <v>47</v>
      </c>
      <c r="N6" s="4" t="s">
        <v>48</v>
      </c>
      <c r="O6" s="4" t="s">
        <v>49</v>
      </c>
      <c r="P6" s="4" t="s">
        <v>50</v>
      </c>
      <c r="Q6" s="4" t="s">
        <v>51</v>
      </c>
      <c r="R6" s="4" t="s">
        <v>52</v>
      </c>
      <c r="S6" s="19"/>
      <c r="T6" s="31"/>
    </row>
    <row r="7" spans="1:20" ht="27">
      <c r="A7" s="37" t="s">
        <v>53</v>
      </c>
      <c r="B7" s="38" t="s">
        <v>54</v>
      </c>
      <c r="C7" s="38">
        <v>36</v>
      </c>
      <c r="D7" s="38" t="s">
        <v>55</v>
      </c>
      <c r="E7" s="38" t="s">
        <v>55</v>
      </c>
      <c r="F7" s="38" t="s">
        <v>56</v>
      </c>
      <c r="G7" s="38" t="s">
        <v>57</v>
      </c>
      <c r="H7" s="38" t="s">
        <v>57</v>
      </c>
      <c r="I7" s="38" t="s">
        <v>56</v>
      </c>
      <c r="J7" s="38" t="s">
        <v>55</v>
      </c>
      <c r="K7" s="38" t="s">
        <v>55</v>
      </c>
      <c r="L7" s="38" t="s">
        <v>56</v>
      </c>
      <c r="M7" s="38" t="s">
        <v>55</v>
      </c>
      <c r="N7" s="38" t="s">
        <v>56</v>
      </c>
      <c r="O7" s="38" t="s">
        <v>55</v>
      </c>
      <c r="P7" s="38" t="s">
        <v>57</v>
      </c>
      <c r="Q7" s="38" t="s">
        <v>58</v>
      </c>
      <c r="R7" s="38" t="s">
        <v>58</v>
      </c>
      <c r="S7" s="38" t="s">
        <v>55</v>
      </c>
      <c r="T7" s="38" t="s">
        <v>120</v>
      </c>
    </row>
    <row r="8" spans="1:20" ht="27">
      <c r="A8" s="39" t="s">
        <v>121</v>
      </c>
      <c r="B8" s="40" t="s">
        <v>54</v>
      </c>
      <c r="C8" s="40">
        <v>7</v>
      </c>
      <c r="D8" s="40" t="s">
        <v>55</v>
      </c>
      <c r="E8" s="40" t="s">
        <v>55</v>
      </c>
      <c r="F8" s="40" t="s">
        <v>56</v>
      </c>
      <c r="G8" s="40" t="s">
        <v>57</v>
      </c>
      <c r="H8" s="40" t="s">
        <v>56</v>
      </c>
      <c r="I8" s="40" t="s">
        <v>56</v>
      </c>
      <c r="J8" s="40" t="s">
        <v>55</v>
      </c>
      <c r="K8" s="40" t="s">
        <v>55</v>
      </c>
      <c r="L8" s="40" t="s">
        <v>57</v>
      </c>
      <c r="M8" s="40" t="s">
        <v>122</v>
      </c>
      <c r="N8" s="40" t="s">
        <v>56</v>
      </c>
      <c r="O8" s="40" t="s">
        <v>55</v>
      </c>
      <c r="P8" s="40" t="s">
        <v>57</v>
      </c>
      <c r="Q8" s="40" t="s">
        <v>82</v>
      </c>
      <c r="R8" s="40" t="s">
        <v>122</v>
      </c>
      <c r="S8" s="40" t="s">
        <v>55</v>
      </c>
      <c r="T8" s="40" t="s">
        <v>123</v>
      </c>
    </row>
    <row r="9" spans="1:20" ht="27">
      <c r="A9" s="39" t="s">
        <v>124</v>
      </c>
      <c r="B9" s="40" t="s">
        <v>54</v>
      </c>
      <c r="C9" s="40">
        <v>36</v>
      </c>
      <c r="D9" s="40" t="s">
        <v>55</v>
      </c>
      <c r="E9" s="40" t="s">
        <v>55</v>
      </c>
      <c r="F9" s="40" t="s">
        <v>56</v>
      </c>
      <c r="G9" s="40" t="s">
        <v>57</v>
      </c>
      <c r="H9" s="40" t="s">
        <v>56</v>
      </c>
      <c r="I9" s="40" t="s">
        <v>57</v>
      </c>
      <c r="J9" s="40" t="s">
        <v>125</v>
      </c>
      <c r="K9" s="40" t="s">
        <v>53</v>
      </c>
      <c r="L9" s="40" t="s">
        <v>56</v>
      </c>
      <c r="M9" s="40" t="s">
        <v>55</v>
      </c>
      <c r="N9" s="40" t="s">
        <v>56</v>
      </c>
      <c r="O9" s="40" t="s">
        <v>55</v>
      </c>
      <c r="P9" s="40" t="s">
        <v>56</v>
      </c>
      <c r="Q9" s="40" t="s">
        <v>55</v>
      </c>
      <c r="R9" s="40" t="s">
        <v>55</v>
      </c>
      <c r="S9" s="40" t="s">
        <v>55</v>
      </c>
      <c r="T9" s="40" t="s">
        <v>126</v>
      </c>
    </row>
    <row r="10" spans="1:20">
      <c r="A10" s="39" t="s">
        <v>127</v>
      </c>
      <c r="B10" s="40" t="s">
        <v>54</v>
      </c>
      <c r="C10" s="40">
        <v>36</v>
      </c>
      <c r="D10" s="40" t="s">
        <v>55</v>
      </c>
      <c r="E10" s="40" t="s">
        <v>55</v>
      </c>
      <c r="F10" s="40" t="s">
        <v>56</v>
      </c>
      <c r="G10" s="40" t="s">
        <v>57</v>
      </c>
      <c r="H10" s="40" t="s">
        <v>56</v>
      </c>
      <c r="I10" s="40" t="s">
        <v>57</v>
      </c>
      <c r="J10" s="40" t="s">
        <v>80</v>
      </c>
      <c r="K10" s="40" t="s">
        <v>53</v>
      </c>
      <c r="L10" s="40" t="s">
        <v>56</v>
      </c>
      <c r="M10" s="40" t="s">
        <v>55</v>
      </c>
      <c r="N10" s="40" t="s">
        <v>56</v>
      </c>
      <c r="O10" s="40" t="s">
        <v>55</v>
      </c>
      <c r="P10" s="40" t="s">
        <v>56</v>
      </c>
      <c r="Q10" s="40" t="s">
        <v>55</v>
      </c>
      <c r="R10" s="40" t="s">
        <v>55</v>
      </c>
      <c r="S10" s="40" t="s">
        <v>55</v>
      </c>
      <c r="T10" s="40" t="s">
        <v>128</v>
      </c>
    </row>
  </sheetData>
  <mergeCells count="18">
    <mergeCell ref="A1:E1"/>
    <mergeCell ref="B2:E2"/>
    <mergeCell ref="B3:E3"/>
    <mergeCell ref="A4:T4"/>
    <mergeCell ref="A5:A6"/>
    <mergeCell ref="B5:B6"/>
    <mergeCell ref="C5:C6"/>
    <mergeCell ref="D5:D6"/>
    <mergeCell ref="E5:E6"/>
    <mergeCell ref="F5:F6"/>
    <mergeCell ref="S5:S6"/>
    <mergeCell ref="T5:T6"/>
    <mergeCell ref="G5:G6"/>
    <mergeCell ref="H5:H6"/>
    <mergeCell ref="I5:K5"/>
    <mergeCell ref="L5:M5"/>
    <mergeCell ref="N5:O5"/>
    <mergeCell ref="P5:R5"/>
  </mergeCells>
  <hyperlinks>
    <hyperlink ref="A1:E1" location="Clases!A1" display="&lt;-Volver al inicio" xr:uid="{B039CD63-8A92-4676-9488-A20454AB0DA5}"/>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28B7A-644C-4C92-BBAE-62A4CC501792}">
  <dimension ref="A1:T11"/>
  <sheetViews>
    <sheetView topLeftCell="O1" zoomScaleNormal="100" workbookViewId="0">
      <pane ySplit="1" topLeftCell="A2" activePane="bottomLeft" state="frozen"/>
      <selection pane="bottomLeft" activeCell="A8" sqref="A8"/>
    </sheetView>
  </sheetViews>
  <sheetFormatPr defaultColWidth="19.7109375" defaultRowHeight="15"/>
  <cols>
    <col min="1" max="1" width="15.7109375" style="1" bestFit="1" customWidth="1"/>
    <col min="2" max="2" width="17.5703125" style="1" bestFit="1" customWidth="1"/>
    <col min="3" max="3" width="12.5703125" style="1" bestFit="1" customWidth="1"/>
    <col min="4" max="4" width="38" style="1" bestFit="1" customWidth="1"/>
    <col min="5" max="5" width="42.42578125" style="1" customWidth="1"/>
    <col min="6" max="6" width="26.5703125" style="1" bestFit="1" customWidth="1"/>
    <col min="7" max="7" width="22.28515625" style="1" bestFit="1" customWidth="1"/>
    <col min="8" max="8" width="42.28515625" style="1" customWidth="1"/>
    <col min="9" max="9" width="23.7109375" style="1" bestFit="1" customWidth="1"/>
    <col min="10" max="10" width="11.28515625" style="1" bestFit="1" customWidth="1"/>
    <col min="11" max="11" width="15.42578125" style="1" bestFit="1" customWidth="1"/>
    <col min="12" max="12" width="62.7109375" style="1" bestFit="1" customWidth="1"/>
    <col min="13" max="13" width="58.85546875" style="1" bestFit="1" customWidth="1"/>
    <col min="14" max="14" width="62.42578125" style="1" bestFit="1" customWidth="1"/>
    <col min="15" max="15" width="58.5703125" style="1" bestFit="1" customWidth="1"/>
    <col min="16" max="16" width="59.85546875" style="1" bestFit="1" customWidth="1"/>
    <col min="17" max="17" width="9" style="1" customWidth="1"/>
    <col min="18" max="18" width="56.28515625" style="1" bestFit="1" customWidth="1"/>
    <col min="19" max="19" width="8.140625" style="1" bestFit="1" customWidth="1"/>
    <col min="20" max="20" width="31.42578125" style="1" customWidth="1"/>
    <col min="21" max="16384" width="19.7109375" style="1"/>
  </cols>
  <sheetData>
    <row r="1" spans="1:20">
      <c r="A1" s="20" t="s">
        <v>28</v>
      </c>
      <c r="B1" s="20"/>
      <c r="C1" s="20"/>
      <c r="D1" s="20"/>
      <c r="E1" s="20"/>
    </row>
    <row r="2" spans="1:20" ht="13.5" customHeight="1">
      <c r="A2" s="2" t="str">
        <f>Entidades!$A$1</f>
        <v>Entidad</v>
      </c>
      <c r="B2" s="26" t="str">
        <f>Entidades!A8</f>
        <v>aeropuerto</v>
      </c>
      <c r="C2" s="26"/>
      <c r="D2" s="26"/>
      <c r="E2" s="27"/>
    </row>
    <row r="3" spans="1:20">
      <c r="A3" s="3" t="str">
        <f>Entidades!$B$1</f>
        <v>Desripción</v>
      </c>
      <c r="B3" s="28" t="str">
        <f>Entidades!B8</f>
        <v>Entidad que contiene la información de  un aeropuerto. Contiene nombre, código IATA, tipo de aeropuerto y estado de activación.</v>
      </c>
      <c r="C3" s="28"/>
      <c r="D3" s="28"/>
      <c r="E3" s="29"/>
    </row>
    <row r="4" spans="1:20">
      <c r="A4" s="21" t="s">
        <v>29</v>
      </c>
      <c r="B4" s="22"/>
      <c r="C4" s="22"/>
      <c r="D4" s="22"/>
      <c r="E4" s="22"/>
      <c r="F4" s="22"/>
      <c r="G4" s="22"/>
      <c r="H4" s="22"/>
      <c r="I4" s="22"/>
      <c r="J4" s="22"/>
      <c r="K4" s="22"/>
      <c r="L4" s="22"/>
      <c r="M4" s="22"/>
      <c r="N4" s="22"/>
      <c r="O4" s="22"/>
      <c r="P4" s="22"/>
      <c r="Q4" s="22"/>
      <c r="R4" s="22"/>
      <c r="S4" s="22"/>
      <c r="T4" s="23"/>
    </row>
    <row r="5" spans="1:20" s="5" customFormat="1">
      <c r="A5" s="17" t="s">
        <v>30</v>
      </c>
      <c r="B5" s="16" t="s">
        <v>31</v>
      </c>
      <c r="C5" s="16" t="s">
        <v>32</v>
      </c>
      <c r="D5" s="16" t="s">
        <v>33</v>
      </c>
      <c r="E5" s="16" t="s">
        <v>34</v>
      </c>
      <c r="F5" s="16" t="s">
        <v>35</v>
      </c>
      <c r="G5" s="16" t="s">
        <v>36</v>
      </c>
      <c r="H5" s="24" t="s">
        <v>37</v>
      </c>
      <c r="I5" s="16" t="s">
        <v>38</v>
      </c>
      <c r="J5" s="16"/>
      <c r="K5" s="16"/>
      <c r="L5" s="16" t="s">
        <v>39</v>
      </c>
      <c r="M5" s="16"/>
      <c r="N5" s="16" t="s">
        <v>40</v>
      </c>
      <c r="O5" s="16"/>
      <c r="P5" s="16" t="s">
        <v>41</v>
      </c>
      <c r="Q5" s="16"/>
      <c r="R5" s="16"/>
      <c r="S5" s="16" t="s">
        <v>42</v>
      </c>
      <c r="T5" s="30" t="s">
        <v>43</v>
      </c>
    </row>
    <row r="6" spans="1:20" s="5" customFormat="1">
      <c r="A6" s="18"/>
      <c r="B6" s="19"/>
      <c r="C6" s="19"/>
      <c r="D6" s="19"/>
      <c r="E6" s="19"/>
      <c r="F6" s="19"/>
      <c r="G6" s="19"/>
      <c r="H6" s="25"/>
      <c r="I6" s="4" t="s">
        <v>44</v>
      </c>
      <c r="J6" s="4" t="s">
        <v>0</v>
      </c>
      <c r="K6" s="4" t="s">
        <v>45</v>
      </c>
      <c r="L6" s="4" t="s">
        <v>46</v>
      </c>
      <c r="M6" s="4" t="s">
        <v>47</v>
      </c>
      <c r="N6" s="4" t="s">
        <v>48</v>
      </c>
      <c r="O6" s="4" t="s">
        <v>49</v>
      </c>
      <c r="P6" s="4" t="s">
        <v>50</v>
      </c>
      <c r="Q6" s="4" t="s">
        <v>51</v>
      </c>
      <c r="R6" s="4" t="s">
        <v>52</v>
      </c>
      <c r="S6" s="19"/>
      <c r="T6" s="31"/>
    </row>
    <row r="7" spans="1:20" ht="27">
      <c r="A7" s="37" t="s">
        <v>53</v>
      </c>
      <c r="B7" s="38" t="s">
        <v>54</v>
      </c>
      <c r="C7" s="38">
        <v>36</v>
      </c>
      <c r="D7" s="38" t="s">
        <v>55</v>
      </c>
      <c r="E7" s="38" t="s">
        <v>55</v>
      </c>
      <c r="F7" s="38" t="s">
        <v>56</v>
      </c>
      <c r="G7" s="38" t="s">
        <v>57</v>
      </c>
      <c r="H7" s="38" t="s">
        <v>57</v>
      </c>
      <c r="I7" s="38" t="s">
        <v>56</v>
      </c>
      <c r="J7" s="38" t="s">
        <v>55</v>
      </c>
      <c r="K7" s="38" t="s">
        <v>55</v>
      </c>
      <c r="L7" s="38" t="s">
        <v>56</v>
      </c>
      <c r="M7" s="38" t="s">
        <v>55</v>
      </c>
      <c r="N7" s="38" t="s">
        <v>56</v>
      </c>
      <c r="O7" s="38" t="s">
        <v>55</v>
      </c>
      <c r="P7" s="38" t="s">
        <v>57</v>
      </c>
      <c r="Q7" s="38" t="s">
        <v>58</v>
      </c>
      <c r="R7" s="38" t="s">
        <v>58</v>
      </c>
      <c r="S7" s="38" t="s">
        <v>55</v>
      </c>
      <c r="T7" s="38" t="s">
        <v>129</v>
      </c>
    </row>
    <row r="8" spans="1:20">
      <c r="A8" s="39" t="s">
        <v>78</v>
      </c>
      <c r="B8" s="40" t="s">
        <v>54</v>
      </c>
      <c r="C8" s="40">
        <v>50</v>
      </c>
      <c r="D8" s="40" t="s">
        <v>55</v>
      </c>
      <c r="E8" s="40" t="s">
        <v>55</v>
      </c>
      <c r="F8" s="40" t="s">
        <v>56</v>
      </c>
      <c r="G8" s="40" t="s">
        <v>57</v>
      </c>
      <c r="H8" s="40" t="s">
        <v>56</v>
      </c>
      <c r="I8" s="40" t="s">
        <v>56</v>
      </c>
      <c r="J8" s="40" t="s">
        <v>55</v>
      </c>
      <c r="K8" s="40" t="s">
        <v>55</v>
      </c>
      <c r="L8" s="40" t="s">
        <v>56</v>
      </c>
      <c r="M8" s="40" t="s">
        <v>55</v>
      </c>
      <c r="N8" s="40" t="s">
        <v>56</v>
      </c>
      <c r="O8" s="40" t="s">
        <v>55</v>
      </c>
      <c r="P8" s="40" t="s">
        <v>56</v>
      </c>
      <c r="Q8" s="40" t="s">
        <v>55</v>
      </c>
      <c r="R8" s="40" t="s">
        <v>55</v>
      </c>
      <c r="S8" s="40" t="s">
        <v>55</v>
      </c>
      <c r="T8" s="40" t="s">
        <v>130</v>
      </c>
    </row>
    <row r="9" spans="1:20" ht="27">
      <c r="A9" s="39" t="s">
        <v>131</v>
      </c>
      <c r="B9" s="40" t="s">
        <v>54</v>
      </c>
      <c r="C9" s="40">
        <v>3</v>
      </c>
      <c r="D9" s="40" t="s">
        <v>55</v>
      </c>
      <c r="E9" s="40" t="s">
        <v>55</v>
      </c>
      <c r="F9" s="40" t="s">
        <v>56</v>
      </c>
      <c r="G9" s="40" t="s">
        <v>56</v>
      </c>
      <c r="H9" s="40" t="s">
        <v>56</v>
      </c>
      <c r="I9" s="40" t="s">
        <v>56</v>
      </c>
      <c r="J9" s="40" t="s">
        <v>55</v>
      </c>
      <c r="K9" s="40" t="s">
        <v>55</v>
      </c>
      <c r="L9" s="40" t="s">
        <v>56</v>
      </c>
      <c r="M9" s="40" t="s">
        <v>55</v>
      </c>
      <c r="N9" s="40" t="s">
        <v>56</v>
      </c>
      <c r="O9" s="40" t="s">
        <v>55</v>
      </c>
      <c r="P9" s="40" t="s">
        <v>56</v>
      </c>
      <c r="Q9" s="40" t="s">
        <v>55</v>
      </c>
      <c r="R9" s="40" t="s">
        <v>55</v>
      </c>
      <c r="S9" s="40" t="s">
        <v>55</v>
      </c>
      <c r="T9" s="40" t="s">
        <v>132</v>
      </c>
    </row>
    <row r="10" spans="1:20" ht="27">
      <c r="A10" s="39" t="s">
        <v>64</v>
      </c>
      <c r="B10" s="40" t="s">
        <v>65</v>
      </c>
      <c r="C10" s="40" t="s">
        <v>55</v>
      </c>
      <c r="D10" s="40" t="s">
        <v>55</v>
      </c>
      <c r="E10" s="40" t="s">
        <v>55</v>
      </c>
      <c r="F10" s="40" t="s">
        <v>56</v>
      </c>
      <c r="G10" s="40" t="s">
        <v>57</v>
      </c>
      <c r="H10" s="40" t="s">
        <v>56</v>
      </c>
      <c r="I10" s="40" t="s">
        <v>56</v>
      </c>
      <c r="J10" s="40" t="s">
        <v>55</v>
      </c>
      <c r="K10" s="40" t="s">
        <v>55</v>
      </c>
      <c r="L10" s="40" t="s">
        <v>56</v>
      </c>
      <c r="M10" s="40" t="s">
        <v>55</v>
      </c>
      <c r="N10" s="40" t="s">
        <v>56</v>
      </c>
      <c r="O10" s="40" t="s">
        <v>55</v>
      </c>
      <c r="P10" s="40" t="s">
        <v>56</v>
      </c>
      <c r="Q10" s="40" t="s">
        <v>55</v>
      </c>
      <c r="R10" s="40" t="s">
        <v>55</v>
      </c>
      <c r="S10" s="40" t="s">
        <v>55</v>
      </c>
      <c r="T10" s="40" t="s">
        <v>133</v>
      </c>
    </row>
    <row r="11" spans="1:20" ht="27">
      <c r="A11" s="39" t="s">
        <v>134</v>
      </c>
      <c r="B11" s="40" t="s">
        <v>54</v>
      </c>
      <c r="C11" s="40">
        <v>13</v>
      </c>
      <c r="D11" s="40" t="s">
        <v>55</v>
      </c>
      <c r="E11" s="40" t="s">
        <v>55</v>
      </c>
      <c r="F11" s="40" t="s">
        <v>56</v>
      </c>
      <c r="G11" s="40" t="s">
        <v>56</v>
      </c>
      <c r="H11" s="40" t="s">
        <v>56</v>
      </c>
      <c r="I11" s="40" t="s">
        <v>56</v>
      </c>
      <c r="J11" s="40" t="s">
        <v>55</v>
      </c>
      <c r="K11" s="40" t="s">
        <v>55</v>
      </c>
      <c r="L11" s="40" t="s">
        <v>56</v>
      </c>
      <c r="M11" s="40" t="s">
        <v>55</v>
      </c>
      <c r="N11" s="40" t="s">
        <v>56</v>
      </c>
      <c r="O11" s="40" t="s">
        <v>55</v>
      </c>
      <c r="P11" s="40" t="s">
        <v>56</v>
      </c>
      <c r="Q11" s="40" t="s">
        <v>55</v>
      </c>
      <c r="R11" s="40" t="s">
        <v>55</v>
      </c>
      <c r="S11" s="40" t="s">
        <v>55</v>
      </c>
      <c r="T11" s="40" t="s">
        <v>135</v>
      </c>
    </row>
  </sheetData>
  <mergeCells count="18">
    <mergeCell ref="A1:E1"/>
    <mergeCell ref="B2:E2"/>
    <mergeCell ref="B3:E3"/>
    <mergeCell ref="A4:T4"/>
    <mergeCell ref="A5:A6"/>
    <mergeCell ref="B5:B6"/>
    <mergeCell ref="C5:C6"/>
    <mergeCell ref="D5:D6"/>
    <mergeCell ref="E5:E6"/>
    <mergeCell ref="F5:F6"/>
    <mergeCell ref="S5:S6"/>
    <mergeCell ref="T5:T6"/>
    <mergeCell ref="G5:G6"/>
    <mergeCell ref="H5:H6"/>
    <mergeCell ref="I5:K5"/>
    <mergeCell ref="L5:M5"/>
    <mergeCell ref="N5:O5"/>
    <mergeCell ref="P5:R5"/>
  </mergeCells>
  <hyperlinks>
    <hyperlink ref="A1:E1" location="Clases!A1" display="&lt;-Volver al inicio" xr:uid="{DC058E31-ED3D-4564-A63C-3B25CCB4DC99}"/>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7B8E-C7D3-4663-B954-562D446A8FFD}">
  <dimension ref="A1:T11"/>
  <sheetViews>
    <sheetView topLeftCell="O1" zoomScaleNormal="100" workbookViewId="0">
      <pane ySplit="1" topLeftCell="A2" activePane="bottomLeft" state="frozen"/>
      <selection pane="bottomLeft" activeCell="L21" sqref="L21"/>
    </sheetView>
  </sheetViews>
  <sheetFormatPr defaultColWidth="19.7109375" defaultRowHeight="15"/>
  <cols>
    <col min="1" max="1" width="24.85546875" style="1" customWidth="1"/>
    <col min="2" max="2" width="17.5703125" style="1" bestFit="1" customWidth="1"/>
    <col min="3" max="3" width="12.5703125" style="1" bestFit="1" customWidth="1"/>
    <col min="4" max="4" width="38" style="1" bestFit="1" customWidth="1"/>
    <col min="5" max="5" width="111.5703125" style="1" customWidth="1"/>
    <col min="6" max="6" width="26.5703125" style="1" bestFit="1" customWidth="1"/>
    <col min="7" max="7" width="22.28515625" style="1" bestFit="1" customWidth="1"/>
    <col min="8" max="8" width="46.5703125" style="1" bestFit="1" customWidth="1"/>
    <col min="9" max="9" width="23.7109375" style="1" bestFit="1" customWidth="1"/>
    <col min="10" max="10" width="11.28515625" style="1" bestFit="1" customWidth="1"/>
    <col min="11" max="11" width="15.42578125" style="1" bestFit="1" customWidth="1"/>
    <col min="12" max="12" width="48.28515625" style="1" customWidth="1"/>
    <col min="13" max="13" width="53.7109375" style="1" customWidth="1"/>
    <col min="14" max="14" width="51.85546875" style="1" customWidth="1"/>
    <col min="15" max="15" width="58.5703125" style="1" bestFit="1" customWidth="1"/>
    <col min="16" max="16" width="52.5703125" style="1" customWidth="1"/>
    <col min="17" max="17" width="9.7109375" style="1" customWidth="1"/>
    <col min="18" max="18" width="56.28515625" style="1" bestFit="1" customWidth="1"/>
    <col min="19" max="19" width="8.140625" style="1" bestFit="1" customWidth="1"/>
    <col min="20" max="20" width="31.42578125" style="1" customWidth="1"/>
    <col min="21" max="16384" width="19.7109375" style="1"/>
  </cols>
  <sheetData>
    <row r="1" spans="1:20">
      <c r="A1" s="20" t="s">
        <v>28</v>
      </c>
      <c r="B1" s="20"/>
      <c r="C1" s="20"/>
      <c r="D1" s="20"/>
      <c r="E1" s="20"/>
    </row>
    <row r="2" spans="1:20" ht="13.5" customHeight="1">
      <c r="A2" s="2" t="str">
        <f>Entidades!$A$1</f>
        <v>Entidad</v>
      </c>
      <c r="B2" s="26" t="str">
        <f>Entidades!A9</f>
        <v>ruta</v>
      </c>
      <c r="C2" s="26"/>
      <c r="D2" s="26"/>
      <c r="E2" s="27"/>
    </row>
    <row r="3" spans="1:20">
      <c r="A3" s="3" t="str">
        <f>Entidades!$B$1</f>
        <v>Desripción</v>
      </c>
      <c r="B3" s="28" t="str">
        <f>Entidades!B9</f>
        <v>Entidad que contiene la información de una ruta física entre dos aeropuertos. Incluye aeropuerto de origen, aeropuerto de destino, tipo de aeropuerto y tiempo estimado de vuelo.</v>
      </c>
      <c r="C3" s="28"/>
      <c r="D3" s="28"/>
      <c r="E3" s="29"/>
    </row>
    <row r="4" spans="1:20">
      <c r="A4" s="21" t="s">
        <v>29</v>
      </c>
      <c r="B4" s="22"/>
      <c r="C4" s="22"/>
      <c r="D4" s="22"/>
      <c r="E4" s="22"/>
      <c r="F4" s="22"/>
      <c r="G4" s="22"/>
      <c r="H4" s="22"/>
      <c r="I4" s="22"/>
      <c r="J4" s="22"/>
      <c r="K4" s="22"/>
      <c r="L4" s="22"/>
      <c r="M4" s="22"/>
      <c r="N4" s="22"/>
      <c r="O4" s="22"/>
      <c r="P4" s="22"/>
      <c r="Q4" s="22"/>
      <c r="R4" s="22"/>
      <c r="S4" s="22"/>
      <c r="T4" s="23"/>
    </row>
    <row r="5" spans="1:20" s="5" customFormat="1">
      <c r="A5" s="17" t="s">
        <v>30</v>
      </c>
      <c r="B5" s="16" t="s">
        <v>31</v>
      </c>
      <c r="C5" s="16" t="s">
        <v>32</v>
      </c>
      <c r="D5" s="16" t="s">
        <v>33</v>
      </c>
      <c r="E5" s="16" t="s">
        <v>34</v>
      </c>
      <c r="F5" s="16" t="s">
        <v>35</v>
      </c>
      <c r="G5" s="16" t="s">
        <v>36</v>
      </c>
      <c r="H5" s="24" t="s">
        <v>37</v>
      </c>
      <c r="I5" s="16" t="s">
        <v>38</v>
      </c>
      <c r="J5" s="16"/>
      <c r="K5" s="16"/>
      <c r="L5" s="16" t="s">
        <v>39</v>
      </c>
      <c r="M5" s="16"/>
      <c r="N5" s="16" t="s">
        <v>40</v>
      </c>
      <c r="O5" s="16"/>
      <c r="P5" s="16" t="s">
        <v>41</v>
      </c>
      <c r="Q5" s="16"/>
      <c r="R5" s="16"/>
      <c r="S5" s="16" t="s">
        <v>42</v>
      </c>
      <c r="T5" s="30" t="s">
        <v>43</v>
      </c>
    </row>
    <row r="6" spans="1:20" s="5" customFormat="1">
      <c r="A6" s="18"/>
      <c r="B6" s="19"/>
      <c r="C6" s="19"/>
      <c r="D6" s="19"/>
      <c r="E6" s="19"/>
      <c r="F6" s="19"/>
      <c r="G6" s="19"/>
      <c r="H6" s="25"/>
      <c r="I6" s="4" t="s">
        <v>44</v>
      </c>
      <c r="J6" s="4" t="s">
        <v>0</v>
      </c>
      <c r="K6" s="4" t="s">
        <v>45</v>
      </c>
      <c r="L6" s="4" t="s">
        <v>46</v>
      </c>
      <c r="M6" s="4" t="s">
        <v>47</v>
      </c>
      <c r="N6" s="4" t="s">
        <v>48</v>
      </c>
      <c r="O6" s="4" t="s">
        <v>49</v>
      </c>
      <c r="P6" s="4" t="s">
        <v>50</v>
      </c>
      <c r="Q6" s="4" t="s">
        <v>51</v>
      </c>
      <c r="R6" s="4" t="s">
        <v>52</v>
      </c>
      <c r="S6" s="19"/>
      <c r="T6" s="31"/>
    </row>
    <row r="7" spans="1:20" ht="27">
      <c r="A7" s="37" t="s">
        <v>53</v>
      </c>
      <c r="B7" s="38" t="s">
        <v>54</v>
      </c>
      <c r="C7" s="38">
        <v>36</v>
      </c>
      <c r="D7" s="38" t="s">
        <v>55</v>
      </c>
      <c r="E7" s="38" t="s">
        <v>55</v>
      </c>
      <c r="F7" s="38" t="s">
        <v>56</v>
      </c>
      <c r="G7" s="38" t="s">
        <v>57</v>
      </c>
      <c r="H7" s="38" t="s">
        <v>57</v>
      </c>
      <c r="I7" s="38" t="s">
        <v>56</v>
      </c>
      <c r="J7" s="38" t="s">
        <v>55</v>
      </c>
      <c r="K7" s="38" t="s">
        <v>55</v>
      </c>
      <c r="L7" s="38" t="s">
        <v>56</v>
      </c>
      <c r="M7" s="38" t="s">
        <v>55</v>
      </c>
      <c r="N7" s="38" t="s">
        <v>56</v>
      </c>
      <c r="O7" s="38" t="s">
        <v>55</v>
      </c>
      <c r="P7" s="38" t="s">
        <v>57</v>
      </c>
      <c r="Q7" s="38" t="s">
        <v>58</v>
      </c>
      <c r="R7" s="38" t="s">
        <v>58</v>
      </c>
      <c r="S7" s="38" t="s">
        <v>55</v>
      </c>
      <c r="T7" s="38" t="s">
        <v>136</v>
      </c>
    </row>
    <row r="8" spans="1:20" ht="25.5">
      <c r="A8" s="39" t="s">
        <v>137</v>
      </c>
      <c r="B8" s="40" t="s">
        <v>54</v>
      </c>
      <c r="C8" s="40">
        <v>36</v>
      </c>
      <c r="D8" s="40" t="s">
        <v>55</v>
      </c>
      <c r="E8" s="40" t="s">
        <v>55</v>
      </c>
      <c r="F8" s="40" t="s">
        <v>56</v>
      </c>
      <c r="G8" s="40" t="s">
        <v>57</v>
      </c>
      <c r="H8" s="40" t="s">
        <v>56</v>
      </c>
      <c r="I8" s="40" t="s">
        <v>57</v>
      </c>
      <c r="J8" s="40" t="s">
        <v>138</v>
      </c>
      <c r="K8" s="40" t="s">
        <v>53</v>
      </c>
      <c r="L8" s="40" t="s">
        <v>57</v>
      </c>
      <c r="M8" s="40" t="s">
        <v>139</v>
      </c>
      <c r="N8" s="40" t="s">
        <v>56</v>
      </c>
      <c r="O8" s="40" t="s">
        <v>55</v>
      </c>
      <c r="P8" s="40" t="s">
        <v>57</v>
      </c>
      <c r="Q8" s="40" t="s">
        <v>82</v>
      </c>
      <c r="R8" s="40" t="s">
        <v>139</v>
      </c>
      <c r="S8" s="40" t="s">
        <v>55</v>
      </c>
      <c r="T8" s="40" t="s">
        <v>140</v>
      </c>
    </row>
    <row r="9" spans="1:20" ht="25.5">
      <c r="A9" s="39" t="s">
        <v>141</v>
      </c>
      <c r="B9" s="40" t="s">
        <v>54</v>
      </c>
      <c r="C9" s="40">
        <v>36</v>
      </c>
      <c r="D9" s="40" t="s">
        <v>55</v>
      </c>
      <c r="E9" s="40" t="s">
        <v>55</v>
      </c>
      <c r="F9" s="40" t="s">
        <v>56</v>
      </c>
      <c r="G9" s="40" t="s">
        <v>57</v>
      </c>
      <c r="H9" s="40" t="s">
        <v>56</v>
      </c>
      <c r="I9" s="40" t="s">
        <v>57</v>
      </c>
      <c r="J9" s="40" t="s">
        <v>138</v>
      </c>
      <c r="K9" s="40" t="s">
        <v>53</v>
      </c>
      <c r="L9" s="40" t="s">
        <v>57</v>
      </c>
      <c r="M9" s="40" t="s">
        <v>139</v>
      </c>
      <c r="N9" s="40" t="s">
        <v>56</v>
      </c>
      <c r="O9" s="40" t="s">
        <v>55</v>
      </c>
      <c r="P9" s="40" t="s">
        <v>57</v>
      </c>
      <c r="Q9" s="40" t="s">
        <v>82</v>
      </c>
      <c r="R9" s="40" t="s">
        <v>139</v>
      </c>
      <c r="S9" s="40" t="s">
        <v>55</v>
      </c>
      <c r="T9" s="40" t="s">
        <v>142</v>
      </c>
    </row>
    <row r="10" spans="1:20">
      <c r="A10" s="39" t="s">
        <v>134</v>
      </c>
      <c r="B10" s="40" t="s">
        <v>54</v>
      </c>
      <c r="C10" s="40">
        <v>13</v>
      </c>
      <c r="D10" s="40" t="s">
        <v>55</v>
      </c>
      <c r="E10" s="40" t="s">
        <v>55</v>
      </c>
      <c r="F10" s="40" t="s">
        <v>56</v>
      </c>
      <c r="G10" s="40" t="s">
        <v>57</v>
      </c>
      <c r="H10" s="40" t="s">
        <v>56</v>
      </c>
      <c r="I10" s="40" t="s">
        <v>56</v>
      </c>
      <c r="J10" s="40" t="s">
        <v>55</v>
      </c>
      <c r="K10" s="40" t="s">
        <v>55</v>
      </c>
      <c r="L10" s="40" t="s">
        <v>56</v>
      </c>
      <c r="M10" s="40" t="s">
        <v>55</v>
      </c>
      <c r="N10" s="40" t="s">
        <v>56</v>
      </c>
      <c r="O10" s="40" t="s">
        <v>55</v>
      </c>
      <c r="P10" s="40" t="s">
        <v>56</v>
      </c>
      <c r="Q10" s="40" t="s">
        <v>55</v>
      </c>
      <c r="R10" s="40" t="s">
        <v>55</v>
      </c>
      <c r="S10" s="40" t="s">
        <v>55</v>
      </c>
      <c r="T10" s="40" t="s">
        <v>143</v>
      </c>
    </row>
    <row r="11" spans="1:20" ht="27">
      <c r="A11" s="39" t="s">
        <v>144</v>
      </c>
      <c r="B11" s="40" t="s">
        <v>145</v>
      </c>
      <c r="C11" s="40" t="s">
        <v>55</v>
      </c>
      <c r="D11" s="40" t="s">
        <v>55</v>
      </c>
      <c r="E11" s="40" t="s">
        <v>55</v>
      </c>
      <c r="F11" s="40" t="s">
        <v>56</v>
      </c>
      <c r="G11" s="40" t="s">
        <v>56</v>
      </c>
      <c r="H11" s="40" t="s">
        <v>56</v>
      </c>
      <c r="I11" s="40" t="s">
        <v>56</v>
      </c>
      <c r="J11" s="40" t="s">
        <v>55</v>
      </c>
      <c r="K11" s="40" t="s">
        <v>55</v>
      </c>
      <c r="L11" s="40" t="s">
        <v>56</v>
      </c>
      <c r="M11" s="40" t="s">
        <v>55</v>
      </c>
      <c r="N11" s="40" t="s">
        <v>56</v>
      </c>
      <c r="O11" s="40" t="s">
        <v>55</v>
      </c>
      <c r="P11" s="40" t="s">
        <v>56</v>
      </c>
      <c r="Q11" s="40" t="s">
        <v>55</v>
      </c>
      <c r="R11" s="40" t="s">
        <v>55</v>
      </c>
      <c r="S11" s="40" t="s">
        <v>55</v>
      </c>
      <c r="T11" s="40" t="s">
        <v>146</v>
      </c>
    </row>
  </sheetData>
  <mergeCells count="18">
    <mergeCell ref="A1:E1"/>
    <mergeCell ref="B2:E2"/>
    <mergeCell ref="B3:E3"/>
    <mergeCell ref="A4:T4"/>
    <mergeCell ref="A5:A6"/>
    <mergeCell ref="B5:B6"/>
    <mergeCell ref="C5:C6"/>
    <mergeCell ref="D5:D6"/>
    <mergeCell ref="E5:E6"/>
    <mergeCell ref="F5:F6"/>
    <mergeCell ref="S5:S6"/>
    <mergeCell ref="T5:T6"/>
    <mergeCell ref="G5:G6"/>
    <mergeCell ref="H5:H6"/>
    <mergeCell ref="I5:K5"/>
    <mergeCell ref="L5:M5"/>
    <mergeCell ref="N5:O5"/>
    <mergeCell ref="P5:R5"/>
  </mergeCells>
  <hyperlinks>
    <hyperlink ref="A1:E1" location="Clases!A1" display="&lt;-Volver al inicio" xr:uid="{54046A09-D61B-4432-8B0E-CAE332B94307}"/>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7A45F-FDDA-4BDD-8FE2-4050F5B64447}">
  <dimension ref="A1:T10"/>
  <sheetViews>
    <sheetView topLeftCell="O1" zoomScaleNormal="100" workbookViewId="0">
      <pane ySplit="1" topLeftCell="A3" activePane="bottomLeft" state="frozen"/>
      <selection pane="bottomLeft" activeCell="E9" sqref="E9"/>
    </sheetView>
  </sheetViews>
  <sheetFormatPr defaultColWidth="19.7109375" defaultRowHeight="15"/>
  <cols>
    <col min="1" max="1" width="15.7109375" style="1" bestFit="1" customWidth="1"/>
    <col min="2" max="2" width="17.5703125" style="1" bestFit="1" customWidth="1"/>
    <col min="3" max="3" width="12.5703125" style="1" bestFit="1" customWidth="1"/>
    <col min="4" max="4" width="38" style="1" bestFit="1" customWidth="1"/>
    <col min="5" max="5" width="70" style="1" customWidth="1"/>
    <col min="6" max="6" width="26.5703125" style="1" bestFit="1" customWidth="1"/>
    <col min="7" max="7" width="22.28515625" style="1" bestFit="1" customWidth="1"/>
    <col min="8" max="8" width="40.28515625" style="1" customWidth="1"/>
    <col min="9" max="9" width="23.7109375" style="1" bestFit="1" customWidth="1"/>
    <col min="10" max="10" width="11.28515625" style="1" bestFit="1" customWidth="1"/>
    <col min="11" max="11" width="15.42578125" style="1" bestFit="1" customWidth="1"/>
    <col min="12" max="12" width="49.42578125" style="1" customWidth="1"/>
    <col min="13" max="13" width="58.85546875" style="1" bestFit="1" customWidth="1"/>
    <col min="14" max="14" width="49.42578125" style="1" customWidth="1"/>
    <col min="15" max="15" width="58.5703125" style="1" bestFit="1" customWidth="1"/>
    <col min="16" max="16" width="45.140625" style="1" customWidth="1"/>
    <col min="17" max="17" width="9" style="1" customWidth="1"/>
    <col min="18" max="18" width="49.140625" style="1" customWidth="1"/>
    <col min="19" max="19" width="8.140625" style="1" bestFit="1" customWidth="1"/>
    <col min="20" max="20" width="31.42578125" style="1" customWidth="1"/>
    <col min="21" max="16384" width="19.7109375" style="1"/>
  </cols>
  <sheetData>
    <row r="1" spans="1:20">
      <c r="A1" s="20" t="s">
        <v>28</v>
      </c>
      <c r="B1" s="20"/>
      <c r="C1" s="20"/>
      <c r="D1" s="20"/>
      <c r="E1" s="20"/>
    </row>
    <row r="2" spans="1:20" ht="13.5" customHeight="1">
      <c r="A2" s="2" t="str">
        <f>Entidades!$A$1</f>
        <v>Entidad</v>
      </c>
      <c r="B2" s="26" t="str">
        <f>Entidades!A10</f>
        <v>ruta aerolinea</v>
      </c>
      <c r="C2" s="26"/>
      <c r="D2" s="26"/>
      <c r="E2" s="27"/>
    </row>
    <row r="3" spans="1:20">
      <c r="A3" s="3" t="str">
        <f>Entidades!$B$1</f>
        <v>Desripción</v>
      </c>
      <c r="B3" s="32" t="str">
        <f>Entidades!B10</f>
        <v>Entidad que contiene la información de una ruta asignada a una aerolínea específica. Vincula una ruta física con una aerolínea e incluye su estado de activación.</v>
      </c>
      <c r="C3" s="33"/>
      <c r="D3" s="33"/>
      <c r="E3" s="34"/>
    </row>
    <row r="4" spans="1:20">
      <c r="A4" s="21" t="s">
        <v>29</v>
      </c>
      <c r="B4" s="22"/>
      <c r="C4" s="22"/>
      <c r="D4" s="22"/>
      <c r="E4" s="22"/>
      <c r="F4" s="22"/>
      <c r="G4" s="22"/>
      <c r="H4" s="22"/>
      <c r="I4" s="22"/>
      <c r="J4" s="22"/>
      <c r="K4" s="22"/>
      <c r="L4" s="22"/>
      <c r="M4" s="22"/>
      <c r="N4" s="22"/>
      <c r="O4" s="22"/>
      <c r="P4" s="22"/>
      <c r="Q4" s="22"/>
      <c r="R4" s="22"/>
      <c r="S4" s="22"/>
      <c r="T4" s="23"/>
    </row>
    <row r="5" spans="1:20" s="5" customFormat="1">
      <c r="A5" s="17" t="s">
        <v>30</v>
      </c>
      <c r="B5" s="16" t="s">
        <v>31</v>
      </c>
      <c r="C5" s="16" t="s">
        <v>32</v>
      </c>
      <c r="D5" s="16" t="s">
        <v>33</v>
      </c>
      <c r="E5" s="16" t="s">
        <v>34</v>
      </c>
      <c r="F5" s="16" t="s">
        <v>35</v>
      </c>
      <c r="G5" s="16" t="s">
        <v>36</v>
      </c>
      <c r="H5" s="24" t="s">
        <v>37</v>
      </c>
      <c r="I5" s="16" t="s">
        <v>38</v>
      </c>
      <c r="J5" s="16"/>
      <c r="K5" s="16"/>
      <c r="L5" s="16" t="s">
        <v>39</v>
      </c>
      <c r="M5" s="16"/>
      <c r="N5" s="16" t="s">
        <v>40</v>
      </c>
      <c r="O5" s="16"/>
      <c r="P5" s="16" t="s">
        <v>41</v>
      </c>
      <c r="Q5" s="16"/>
      <c r="R5" s="16"/>
      <c r="S5" s="16" t="s">
        <v>42</v>
      </c>
      <c r="T5" s="30" t="s">
        <v>43</v>
      </c>
    </row>
    <row r="6" spans="1:20" s="5" customFormat="1">
      <c r="A6" s="18"/>
      <c r="B6" s="19"/>
      <c r="C6" s="19"/>
      <c r="D6" s="19"/>
      <c r="E6" s="19"/>
      <c r="F6" s="19"/>
      <c r="G6" s="19"/>
      <c r="H6" s="25"/>
      <c r="I6" s="4" t="s">
        <v>44</v>
      </c>
      <c r="J6" s="4" t="s">
        <v>0</v>
      </c>
      <c r="K6" s="4" t="s">
        <v>45</v>
      </c>
      <c r="L6" s="4" t="s">
        <v>46</v>
      </c>
      <c r="M6" s="4" t="s">
        <v>47</v>
      </c>
      <c r="N6" s="4" t="s">
        <v>48</v>
      </c>
      <c r="O6" s="4" t="s">
        <v>49</v>
      </c>
      <c r="P6" s="4" t="s">
        <v>50</v>
      </c>
      <c r="Q6" s="4" t="s">
        <v>51</v>
      </c>
      <c r="R6" s="4" t="s">
        <v>52</v>
      </c>
      <c r="S6" s="19"/>
      <c r="T6" s="31"/>
    </row>
    <row r="7" spans="1:20" ht="27">
      <c r="A7" s="37" t="s">
        <v>53</v>
      </c>
      <c r="B7" s="38" t="s">
        <v>54</v>
      </c>
      <c r="C7" s="38">
        <v>36</v>
      </c>
      <c r="D7" s="38" t="s">
        <v>55</v>
      </c>
      <c r="E7" s="38" t="s">
        <v>55</v>
      </c>
      <c r="F7" s="38" t="s">
        <v>56</v>
      </c>
      <c r="G7" s="38" t="s">
        <v>57</v>
      </c>
      <c r="H7" s="38" t="s">
        <v>57</v>
      </c>
      <c r="I7" s="38" t="s">
        <v>56</v>
      </c>
      <c r="J7" s="38" t="s">
        <v>55</v>
      </c>
      <c r="K7" s="38" t="s">
        <v>55</v>
      </c>
      <c r="L7" s="38" t="s">
        <v>56</v>
      </c>
      <c r="M7" s="38" t="s">
        <v>55</v>
      </c>
      <c r="N7" s="38" t="s">
        <v>56</v>
      </c>
      <c r="O7" s="38" t="s">
        <v>55</v>
      </c>
      <c r="P7" s="38" t="s">
        <v>57</v>
      </c>
      <c r="Q7" s="38" t="s">
        <v>58</v>
      </c>
      <c r="R7" s="38" t="s">
        <v>58</v>
      </c>
      <c r="S7" s="38" t="s">
        <v>55</v>
      </c>
      <c r="T7" s="38" t="s">
        <v>147</v>
      </c>
    </row>
    <row r="8" spans="1:20">
      <c r="A8" s="39" t="s">
        <v>148</v>
      </c>
      <c r="B8" s="40" t="s">
        <v>54</v>
      </c>
      <c r="C8" s="40">
        <v>36</v>
      </c>
      <c r="D8" s="40" t="s">
        <v>55</v>
      </c>
      <c r="E8" s="40" t="s">
        <v>55</v>
      </c>
      <c r="F8" s="40" t="s">
        <v>56</v>
      </c>
      <c r="G8" s="40" t="s">
        <v>57</v>
      </c>
      <c r="H8" s="40" t="s">
        <v>56</v>
      </c>
      <c r="I8" s="40" t="s">
        <v>57</v>
      </c>
      <c r="J8" s="40" t="s">
        <v>149</v>
      </c>
      <c r="K8" s="40" t="s">
        <v>53</v>
      </c>
      <c r="L8" s="40" t="s">
        <v>56</v>
      </c>
      <c r="M8" s="40" t="s">
        <v>55</v>
      </c>
      <c r="N8" s="40" t="s">
        <v>56</v>
      </c>
      <c r="O8" s="40" t="s">
        <v>55</v>
      </c>
      <c r="P8" s="40" t="s">
        <v>56</v>
      </c>
      <c r="Q8" s="40" t="s">
        <v>55</v>
      </c>
      <c r="R8" s="40" t="s">
        <v>55</v>
      </c>
      <c r="S8" s="40" t="s">
        <v>55</v>
      </c>
      <c r="T8" s="40" t="s">
        <v>150</v>
      </c>
    </row>
    <row r="9" spans="1:20">
      <c r="A9" s="39" t="s">
        <v>127</v>
      </c>
      <c r="B9" s="40" t="s">
        <v>54</v>
      </c>
      <c r="C9" s="40">
        <v>36</v>
      </c>
      <c r="D9" s="40" t="s">
        <v>55</v>
      </c>
      <c r="E9" s="40" t="s">
        <v>55</v>
      </c>
      <c r="F9" s="40" t="s">
        <v>56</v>
      </c>
      <c r="G9" s="40" t="s">
        <v>57</v>
      </c>
      <c r="H9" s="40" t="s">
        <v>56</v>
      </c>
      <c r="I9" s="40" t="s">
        <v>57</v>
      </c>
      <c r="J9" s="40" t="s">
        <v>80</v>
      </c>
      <c r="K9" s="40" t="s">
        <v>53</v>
      </c>
      <c r="L9" s="40" t="s">
        <v>56</v>
      </c>
      <c r="M9" s="40" t="s">
        <v>55</v>
      </c>
      <c r="N9" s="40" t="s">
        <v>56</v>
      </c>
      <c r="O9" s="40" t="s">
        <v>55</v>
      </c>
      <c r="P9" s="40" t="s">
        <v>56</v>
      </c>
      <c r="Q9" s="40" t="s">
        <v>55</v>
      </c>
      <c r="R9" s="40" t="s">
        <v>55</v>
      </c>
      <c r="S9" s="40" t="s">
        <v>55</v>
      </c>
      <c r="T9" s="40" t="s">
        <v>151</v>
      </c>
    </row>
    <row r="10" spans="1:20">
      <c r="A10" s="39" t="s">
        <v>64</v>
      </c>
      <c r="B10" s="40" t="s">
        <v>54</v>
      </c>
      <c r="C10" s="40">
        <v>8</v>
      </c>
      <c r="D10" s="40" t="s">
        <v>55</v>
      </c>
      <c r="E10" s="40" t="s">
        <v>55</v>
      </c>
      <c r="F10" s="40" t="s">
        <v>56</v>
      </c>
      <c r="G10" s="40" t="s">
        <v>57</v>
      </c>
      <c r="H10" s="40" t="s">
        <v>56</v>
      </c>
      <c r="I10" s="40" t="s">
        <v>56</v>
      </c>
      <c r="J10" s="40" t="s">
        <v>55</v>
      </c>
      <c r="K10" s="40" t="s">
        <v>55</v>
      </c>
      <c r="L10" s="40" t="s">
        <v>56</v>
      </c>
      <c r="M10" s="40" t="s">
        <v>55</v>
      </c>
      <c r="N10" s="40" t="s">
        <v>56</v>
      </c>
      <c r="O10" s="40" t="s">
        <v>55</v>
      </c>
      <c r="P10" s="40" t="s">
        <v>56</v>
      </c>
      <c r="Q10" s="40" t="s">
        <v>55</v>
      </c>
      <c r="R10" s="40" t="s">
        <v>55</v>
      </c>
      <c r="S10" s="40" t="s">
        <v>55</v>
      </c>
      <c r="T10" s="40" t="s">
        <v>152</v>
      </c>
    </row>
  </sheetData>
  <mergeCells count="18">
    <mergeCell ref="A1:E1"/>
    <mergeCell ref="B2:E2"/>
    <mergeCell ref="B3:E3"/>
    <mergeCell ref="A4:T4"/>
    <mergeCell ref="A5:A6"/>
    <mergeCell ref="B5:B6"/>
    <mergeCell ref="C5:C6"/>
    <mergeCell ref="D5:D6"/>
    <mergeCell ref="E5:E6"/>
    <mergeCell ref="F5:F6"/>
    <mergeCell ref="S5:S6"/>
    <mergeCell ref="T5:T6"/>
    <mergeCell ref="G5:G6"/>
    <mergeCell ref="H5:H6"/>
    <mergeCell ref="I5:K5"/>
    <mergeCell ref="L5:M5"/>
    <mergeCell ref="N5:O5"/>
    <mergeCell ref="P5:R5"/>
  </mergeCells>
  <hyperlinks>
    <hyperlink ref="A1:E1" location="Clases!A1" display="&lt;-Volver al inicio" xr:uid="{B45B189F-D3C3-4C49-9CDB-199084613DF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2FC9B-9068-48C3-8186-8D75F4D5C096}">
  <dimension ref="A1:T11"/>
  <sheetViews>
    <sheetView topLeftCell="O1" zoomScaleNormal="100" workbookViewId="0">
      <pane ySplit="1" topLeftCell="R3" activePane="bottomLeft" state="frozen"/>
      <selection pane="bottomLeft" activeCell="N9" sqref="N9"/>
    </sheetView>
  </sheetViews>
  <sheetFormatPr defaultColWidth="19.7109375" defaultRowHeight="15"/>
  <cols>
    <col min="1" max="1" width="15.7109375" style="1" bestFit="1" customWidth="1"/>
    <col min="2" max="2" width="17.5703125" style="1" bestFit="1" customWidth="1"/>
    <col min="3" max="3" width="12.5703125" style="1" bestFit="1" customWidth="1"/>
    <col min="4" max="4" width="38" style="1" bestFit="1" customWidth="1"/>
    <col min="5" max="5" width="44.7109375" style="1" customWidth="1"/>
    <col min="6" max="6" width="26.5703125" style="1" bestFit="1" customWidth="1"/>
    <col min="7" max="7" width="22.28515625" style="1" bestFit="1" customWidth="1"/>
    <col min="8" max="8" width="46.5703125" style="1" bestFit="1" customWidth="1"/>
    <col min="9" max="9" width="23.7109375" style="1" bestFit="1" customWidth="1"/>
    <col min="10" max="10" width="11.28515625" style="1" bestFit="1" customWidth="1"/>
    <col min="11" max="11" width="15.42578125" style="1" bestFit="1" customWidth="1"/>
    <col min="12" max="12" width="47.7109375" style="1" customWidth="1"/>
    <col min="13" max="13" width="58.85546875" style="1" bestFit="1" customWidth="1"/>
    <col min="14" max="14" width="55.42578125" style="1" customWidth="1"/>
    <col min="15" max="15" width="58.5703125" style="1" bestFit="1" customWidth="1"/>
    <col min="16" max="16" width="51.28515625" style="1" customWidth="1"/>
    <col min="17" max="17" width="8.7109375" style="1" customWidth="1"/>
    <col min="18" max="18" width="56.28515625" style="1" bestFit="1" customWidth="1"/>
    <col min="19" max="19" width="8.140625" style="1" bestFit="1" customWidth="1"/>
    <col min="20" max="20" width="37.5703125" style="1" customWidth="1"/>
    <col min="21" max="16384" width="19.7109375" style="1"/>
  </cols>
  <sheetData>
    <row r="1" spans="1:20">
      <c r="A1" s="20" t="s">
        <v>28</v>
      </c>
      <c r="B1" s="20"/>
      <c r="C1" s="20"/>
      <c r="D1" s="20"/>
      <c r="E1" s="20"/>
    </row>
    <row r="2" spans="1:20" ht="13.5" customHeight="1">
      <c r="A2" s="2" t="str">
        <f>Entidades!$A$1</f>
        <v>Entidad</v>
      </c>
      <c r="B2" s="26" t="str">
        <f>Entidades!A11</f>
        <v>bitacora diaria</v>
      </c>
      <c r="C2" s="26"/>
      <c r="D2" s="26"/>
      <c r="E2" s="27"/>
    </row>
    <row r="3" spans="1:20">
      <c r="A3" s="3" t="str">
        <f>Entidades!$B$1</f>
        <v>Desripción</v>
      </c>
      <c r="B3" s="28" t="str">
        <f>Entidades!B11</f>
        <v>Entidad que contiene la información de la bitácora diaria de un piloto. Contiene fecha, empleado asociado, página del libro y estado.</v>
      </c>
      <c r="C3" s="28"/>
      <c r="D3" s="28"/>
      <c r="E3" s="29"/>
    </row>
    <row r="4" spans="1:20">
      <c r="A4" s="21" t="s">
        <v>29</v>
      </c>
      <c r="B4" s="22"/>
      <c r="C4" s="22"/>
      <c r="D4" s="22"/>
      <c r="E4" s="22"/>
      <c r="F4" s="22"/>
      <c r="G4" s="22"/>
      <c r="H4" s="22"/>
      <c r="I4" s="22"/>
      <c r="J4" s="22"/>
      <c r="K4" s="22"/>
      <c r="L4" s="22"/>
      <c r="M4" s="22"/>
      <c r="N4" s="22"/>
      <c r="O4" s="22"/>
      <c r="P4" s="22"/>
      <c r="Q4" s="22"/>
      <c r="R4" s="22"/>
      <c r="S4" s="22"/>
      <c r="T4" s="23"/>
    </row>
    <row r="5" spans="1:20" s="5" customFormat="1">
      <c r="A5" s="17" t="s">
        <v>30</v>
      </c>
      <c r="B5" s="16" t="s">
        <v>31</v>
      </c>
      <c r="C5" s="16" t="s">
        <v>32</v>
      </c>
      <c r="D5" s="16" t="s">
        <v>33</v>
      </c>
      <c r="E5" s="16" t="s">
        <v>34</v>
      </c>
      <c r="F5" s="16" t="s">
        <v>35</v>
      </c>
      <c r="G5" s="16" t="s">
        <v>36</v>
      </c>
      <c r="H5" s="24" t="s">
        <v>37</v>
      </c>
      <c r="I5" s="16" t="s">
        <v>38</v>
      </c>
      <c r="J5" s="16"/>
      <c r="K5" s="16"/>
      <c r="L5" s="16" t="s">
        <v>39</v>
      </c>
      <c r="M5" s="16"/>
      <c r="N5" s="16" t="s">
        <v>40</v>
      </c>
      <c r="O5" s="16"/>
      <c r="P5" s="16" t="s">
        <v>41</v>
      </c>
      <c r="Q5" s="16"/>
      <c r="R5" s="16"/>
      <c r="S5" s="16" t="s">
        <v>42</v>
      </c>
      <c r="T5" s="30" t="s">
        <v>43</v>
      </c>
    </row>
    <row r="6" spans="1:20" s="5" customFormat="1">
      <c r="A6" s="18"/>
      <c r="B6" s="19"/>
      <c r="C6" s="19"/>
      <c r="D6" s="19"/>
      <c r="E6" s="19"/>
      <c r="F6" s="19"/>
      <c r="G6" s="19"/>
      <c r="H6" s="25"/>
      <c r="I6" s="4" t="s">
        <v>44</v>
      </c>
      <c r="J6" s="4" t="s">
        <v>0</v>
      </c>
      <c r="K6" s="4" t="s">
        <v>45</v>
      </c>
      <c r="L6" s="4" t="s">
        <v>46</v>
      </c>
      <c r="M6" s="4" t="s">
        <v>47</v>
      </c>
      <c r="N6" s="4" t="s">
        <v>48</v>
      </c>
      <c r="O6" s="4" t="s">
        <v>49</v>
      </c>
      <c r="P6" s="4" t="s">
        <v>50</v>
      </c>
      <c r="Q6" s="4" t="s">
        <v>51</v>
      </c>
      <c r="R6" s="4" t="s">
        <v>52</v>
      </c>
      <c r="S6" s="19"/>
      <c r="T6" s="31"/>
    </row>
    <row r="7" spans="1:20" ht="27">
      <c r="A7" s="37" t="s">
        <v>53</v>
      </c>
      <c r="B7" s="38" t="s">
        <v>54</v>
      </c>
      <c r="C7" s="38">
        <v>36</v>
      </c>
      <c r="D7" s="38" t="s">
        <v>55</v>
      </c>
      <c r="E7" s="38" t="s">
        <v>55</v>
      </c>
      <c r="F7" s="38" t="s">
        <v>56</v>
      </c>
      <c r="G7" s="38" t="s">
        <v>57</v>
      </c>
      <c r="H7" s="38" t="s">
        <v>57</v>
      </c>
      <c r="I7" s="38" t="s">
        <v>56</v>
      </c>
      <c r="J7" s="38" t="s">
        <v>55</v>
      </c>
      <c r="K7" s="38" t="s">
        <v>55</v>
      </c>
      <c r="L7" s="38" t="s">
        <v>56</v>
      </c>
      <c r="M7" s="38" t="s">
        <v>55</v>
      </c>
      <c r="N7" s="38" t="s">
        <v>56</v>
      </c>
      <c r="O7" s="38" t="s">
        <v>55</v>
      </c>
      <c r="P7" s="38" t="s">
        <v>57</v>
      </c>
      <c r="Q7" s="38" t="s">
        <v>58</v>
      </c>
      <c r="R7" s="38" t="s">
        <v>58</v>
      </c>
      <c r="S7" s="38" t="s">
        <v>55</v>
      </c>
      <c r="T7" s="38" t="s">
        <v>153</v>
      </c>
    </row>
    <row r="8" spans="1:20">
      <c r="A8" s="39" t="s">
        <v>154</v>
      </c>
      <c r="B8" s="40" t="s">
        <v>92</v>
      </c>
      <c r="C8" s="40" t="s">
        <v>55</v>
      </c>
      <c r="D8" s="40" t="s">
        <v>55</v>
      </c>
      <c r="E8" s="40" t="s">
        <v>55</v>
      </c>
      <c r="F8" s="40" t="s">
        <v>56</v>
      </c>
      <c r="G8" s="40" t="s">
        <v>57</v>
      </c>
      <c r="H8" s="40" t="s">
        <v>56</v>
      </c>
      <c r="I8" s="40" t="s">
        <v>56</v>
      </c>
      <c r="J8" s="40" t="s">
        <v>55</v>
      </c>
      <c r="K8" s="40" t="s">
        <v>55</v>
      </c>
      <c r="L8" s="40" t="s">
        <v>56</v>
      </c>
      <c r="M8" s="40" t="s">
        <v>55</v>
      </c>
      <c r="N8" s="40" t="s">
        <v>56</v>
      </c>
      <c r="O8" s="40" t="s">
        <v>55</v>
      </c>
      <c r="P8" s="40" t="s">
        <v>56</v>
      </c>
      <c r="Q8" s="40" t="s">
        <v>55</v>
      </c>
      <c r="R8" s="40" t="s">
        <v>55</v>
      </c>
      <c r="S8" s="40" t="s">
        <v>55</v>
      </c>
      <c r="T8" s="40" t="s">
        <v>155</v>
      </c>
    </row>
    <row r="9" spans="1:20" ht="27">
      <c r="A9" s="39" t="s">
        <v>156</v>
      </c>
      <c r="B9" s="40" t="s">
        <v>54</v>
      </c>
      <c r="C9" s="40">
        <v>36</v>
      </c>
      <c r="D9" s="40" t="s">
        <v>55</v>
      </c>
      <c r="E9" s="40" t="s">
        <v>55</v>
      </c>
      <c r="F9" s="40" t="s">
        <v>56</v>
      </c>
      <c r="G9" s="40" t="s">
        <v>57</v>
      </c>
      <c r="H9" s="40" t="s">
        <v>56</v>
      </c>
      <c r="I9" s="40" t="s">
        <v>57</v>
      </c>
      <c r="J9" s="40" t="s">
        <v>157</v>
      </c>
      <c r="K9" s="40" t="s">
        <v>53</v>
      </c>
      <c r="L9" s="40" t="s">
        <v>56</v>
      </c>
      <c r="M9" s="40" t="s">
        <v>55</v>
      </c>
      <c r="N9" s="40" t="s">
        <v>56</v>
      </c>
      <c r="O9" s="40" t="s">
        <v>55</v>
      </c>
      <c r="P9" s="40" t="s">
        <v>56</v>
      </c>
      <c r="Q9" s="40" t="s">
        <v>55</v>
      </c>
      <c r="R9" s="40" t="s">
        <v>55</v>
      </c>
      <c r="S9" s="40" t="s">
        <v>55</v>
      </c>
      <c r="T9" s="40" t="s">
        <v>158</v>
      </c>
    </row>
    <row r="10" spans="1:20" ht="27">
      <c r="A10" s="39" t="s">
        <v>159</v>
      </c>
      <c r="B10" s="40" t="s">
        <v>160</v>
      </c>
      <c r="C10" s="40" t="s">
        <v>55</v>
      </c>
      <c r="D10" s="40" t="s">
        <v>55</v>
      </c>
      <c r="E10" s="40" t="s">
        <v>55</v>
      </c>
      <c r="F10" s="40" t="s">
        <v>56</v>
      </c>
      <c r="G10" s="40" t="s">
        <v>56</v>
      </c>
      <c r="H10" s="40" t="s">
        <v>56</v>
      </c>
      <c r="I10" s="40" t="s">
        <v>56</v>
      </c>
      <c r="J10" s="40" t="s">
        <v>55</v>
      </c>
      <c r="K10" s="40" t="s">
        <v>55</v>
      </c>
      <c r="L10" s="40" t="s">
        <v>56</v>
      </c>
      <c r="M10" s="40" t="s">
        <v>55</v>
      </c>
      <c r="N10" s="40" t="s">
        <v>56</v>
      </c>
      <c r="O10" s="40" t="s">
        <v>55</v>
      </c>
      <c r="P10" s="40" t="s">
        <v>56</v>
      </c>
      <c r="Q10" s="40" t="s">
        <v>55</v>
      </c>
      <c r="R10" s="40" t="s">
        <v>55</v>
      </c>
      <c r="S10" s="40" t="s">
        <v>55</v>
      </c>
      <c r="T10" s="40" t="s">
        <v>161</v>
      </c>
    </row>
    <row r="11" spans="1:20">
      <c r="A11" s="39" t="s">
        <v>64</v>
      </c>
      <c r="B11" s="40" t="s">
        <v>54</v>
      </c>
      <c r="C11" s="40">
        <v>12</v>
      </c>
      <c r="D11" s="40" t="s">
        <v>55</v>
      </c>
      <c r="E11" s="40" t="s">
        <v>55</v>
      </c>
      <c r="F11" s="40" t="s">
        <v>56</v>
      </c>
      <c r="G11" s="40" t="s">
        <v>57</v>
      </c>
      <c r="H11" s="40" t="s">
        <v>56</v>
      </c>
      <c r="I11" s="40" t="s">
        <v>56</v>
      </c>
      <c r="J11" s="40" t="s">
        <v>55</v>
      </c>
      <c r="K11" s="40" t="s">
        <v>55</v>
      </c>
      <c r="L11" s="40" t="s">
        <v>56</v>
      </c>
      <c r="M11" s="40" t="s">
        <v>55</v>
      </c>
      <c r="N11" s="40" t="s">
        <v>56</v>
      </c>
      <c r="O11" s="40" t="s">
        <v>55</v>
      </c>
      <c r="P11" s="40" t="s">
        <v>56</v>
      </c>
      <c r="Q11" s="40" t="s">
        <v>55</v>
      </c>
      <c r="R11" s="40" t="s">
        <v>55</v>
      </c>
      <c r="S11" s="40" t="s">
        <v>55</v>
      </c>
      <c r="T11" s="40" t="s">
        <v>162</v>
      </c>
    </row>
  </sheetData>
  <mergeCells count="18">
    <mergeCell ref="A1:E1"/>
    <mergeCell ref="B2:E2"/>
    <mergeCell ref="B3:E3"/>
    <mergeCell ref="A4:T4"/>
    <mergeCell ref="A5:A6"/>
    <mergeCell ref="B5:B6"/>
    <mergeCell ref="C5:C6"/>
    <mergeCell ref="D5:D6"/>
    <mergeCell ref="E5:E6"/>
    <mergeCell ref="F5:F6"/>
    <mergeCell ref="S5:S6"/>
    <mergeCell ref="T5:T6"/>
    <mergeCell ref="G5:G6"/>
    <mergeCell ref="H5:H6"/>
    <mergeCell ref="I5:K5"/>
    <mergeCell ref="L5:M5"/>
    <mergeCell ref="N5:O5"/>
    <mergeCell ref="P5:R5"/>
  </mergeCells>
  <hyperlinks>
    <hyperlink ref="A1:E1" location="Clases!A1" display="&lt;-Volver al inicio" xr:uid="{2E95175D-4F41-4D6F-8605-4BA853C8E13C}"/>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BDBAF-FD00-4615-B2B4-41908FD42CEE}">
  <dimension ref="A1:T25"/>
  <sheetViews>
    <sheetView topLeftCell="O1" zoomScaleNormal="100" workbookViewId="0">
      <pane ySplit="1" topLeftCell="R8" activePane="bottomLeft" state="frozen"/>
      <selection pane="bottomLeft" activeCell="T18" sqref="T18"/>
    </sheetView>
  </sheetViews>
  <sheetFormatPr defaultColWidth="19.7109375" defaultRowHeight="15"/>
  <cols>
    <col min="1" max="1" width="28.7109375" style="1" customWidth="1"/>
    <col min="2" max="2" width="17.5703125" style="1" bestFit="1" customWidth="1"/>
    <col min="3" max="3" width="12.5703125" style="1" bestFit="1" customWidth="1"/>
    <col min="4" max="4" width="38" style="1" bestFit="1" customWidth="1"/>
    <col min="5" max="5" width="87.42578125" style="1" customWidth="1"/>
    <col min="6" max="6" width="26.5703125" style="1" bestFit="1" customWidth="1"/>
    <col min="7" max="7" width="22.28515625" style="1" bestFit="1" customWidth="1"/>
    <col min="8" max="8" width="46.5703125" style="1" bestFit="1" customWidth="1"/>
    <col min="9" max="9" width="23.7109375" style="1" bestFit="1" customWidth="1"/>
    <col min="10" max="10" width="11.28515625" style="1" bestFit="1" customWidth="1"/>
    <col min="11" max="11" width="15.42578125" style="1" bestFit="1" customWidth="1"/>
    <col min="12" max="12" width="62.7109375" style="1" bestFit="1" customWidth="1"/>
    <col min="13" max="13" width="58.85546875" style="1" bestFit="1" customWidth="1"/>
    <col min="14" max="14" width="62.42578125" style="1" bestFit="1" customWidth="1"/>
    <col min="15" max="15" width="58.5703125" style="1" bestFit="1" customWidth="1"/>
    <col min="16" max="16" width="59.85546875" style="1" bestFit="1" customWidth="1"/>
    <col min="17" max="17" width="7.7109375" style="1" bestFit="1" customWidth="1"/>
    <col min="18" max="18" width="56.28515625" style="1" bestFit="1" customWidth="1"/>
    <col min="19" max="19" width="22.28515625" style="1" customWidth="1"/>
    <col min="20" max="20" width="43" style="1" customWidth="1"/>
    <col min="21" max="16384" width="19.7109375" style="1"/>
  </cols>
  <sheetData>
    <row r="1" spans="1:20">
      <c r="A1" s="20" t="s">
        <v>28</v>
      </c>
      <c r="B1" s="20"/>
      <c r="C1" s="20"/>
      <c r="D1" s="20"/>
      <c r="E1" s="20"/>
    </row>
    <row r="2" spans="1:20" ht="13.5" customHeight="1">
      <c r="A2" s="2" t="str">
        <f>Entidades!$A$1</f>
        <v>Entidad</v>
      </c>
      <c r="B2" s="26" t="str">
        <f>Entidades!A12</f>
        <v>detalle bitacora diaria</v>
      </c>
      <c r="C2" s="26"/>
      <c r="D2" s="26"/>
      <c r="E2" s="27"/>
    </row>
    <row r="3" spans="1:20" ht="28.5" customHeight="1">
      <c r="A3" s="3" t="str">
        <f>Entidades!$B$1</f>
        <v>Desripción</v>
      </c>
      <c r="B3" s="35" t="str">
        <f>Entidades!B12</f>
        <v>Entidad que contiene la información de  segmento de vuelo dentro de la bitácora diaria. Es la entidad central del sistema. Incluye fecha real del vuelo, número de vuelo, ruta, matrícula, pasajeros, tiempos de bloque y aire (OUT/OFF/ON/IN), rol del piloto, cargo de tripulante, nombre del compañero de cabina, tipo de aproximación y tipo de vuelo.</v>
      </c>
      <c r="C3" s="35"/>
      <c r="D3" s="35"/>
      <c r="E3" s="36"/>
    </row>
    <row r="4" spans="1:20">
      <c r="A4" s="21" t="s">
        <v>29</v>
      </c>
      <c r="B4" s="22"/>
      <c r="C4" s="22"/>
      <c r="D4" s="22"/>
      <c r="E4" s="22"/>
      <c r="F4" s="22"/>
      <c r="G4" s="22"/>
      <c r="H4" s="22"/>
      <c r="I4" s="22"/>
      <c r="J4" s="22"/>
      <c r="K4" s="22"/>
      <c r="L4" s="22"/>
      <c r="M4" s="22"/>
      <c r="N4" s="22"/>
      <c r="O4" s="22"/>
      <c r="P4" s="22"/>
      <c r="Q4" s="22"/>
      <c r="R4" s="22"/>
      <c r="S4" s="22"/>
      <c r="T4" s="23"/>
    </row>
    <row r="5" spans="1:20" s="5" customFormat="1">
      <c r="A5" s="17" t="s">
        <v>30</v>
      </c>
      <c r="B5" s="16" t="s">
        <v>31</v>
      </c>
      <c r="C5" s="16" t="s">
        <v>32</v>
      </c>
      <c r="D5" s="16" t="s">
        <v>33</v>
      </c>
      <c r="E5" s="16" t="s">
        <v>34</v>
      </c>
      <c r="F5" s="16" t="s">
        <v>35</v>
      </c>
      <c r="G5" s="16" t="s">
        <v>36</v>
      </c>
      <c r="H5" s="24" t="s">
        <v>37</v>
      </c>
      <c r="I5" s="16" t="s">
        <v>38</v>
      </c>
      <c r="J5" s="16"/>
      <c r="K5" s="16"/>
      <c r="L5" s="16" t="s">
        <v>39</v>
      </c>
      <c r="M5" s="16"/>
      <c r="N5" s="16" t="s">
        <v>40</v>
      </c>
      <c r="O5" s="16"/>
      <c r="P5" s="16" t="s">
        <v>41</v>
      </c>
      <c r="Q5" s="16"/>
      <c r="R5" s="16"/>
      <c r="S5" s="16" t="s">
        <v>42</v>
      </c>
      <c r="T5" s="30" t="s">
        <v>43</v>
      </c>
    </row>
    <row r="6" spans="1:20" s="5" customFormat="1">
      <c r="A6" s="18"/>
      <c r="B6" s="19"/>
      <c r="C6" s="19"/>
      <c r="D6" s="19"/>
      <c r="E6" s="19"/>
      <c r="F6" s="19"/>
      <c r="G6" s="19"/>
      <c r="H6" s="25"/>
      <c r="I6" s="4" t="s">
        <v>44</v>
      </c>
      <c r="J6" s="4" t="s">
        <v>0</v>
      </c>
      <c r="K6" s="4" t="s">
        <v>45</v>
      </c>
      <c r="L6" s="4" t="s">
        <v>46</v>
      </c>
      <c r="M6" s="4" t="s">
        <v>47</v>
      </c>
      <c r="N6" s="4" t="s">
        <v>48</v>
      </c>
      <c r="O6" s="4" t="s">
        <v>49</v>
      </c>
      <c r="P6" s="4" t="s">
        <v>50</v>
      </c>
      <c r="Q6" s="4" t="s">
        <v>51</v>
      </c>
      <c r="R6" s="4" t="s">
        <v>52</v>
      </c>
      <c r="S6" s="19"/>
      <c r="T6" s="31"/>
    </row>
    <row r="7" spans="1:20" ht="27">
      <c r="A7" s="37" t="s">
        <v>53</v>
      </c>
      <c r="B7" s="38" t="s">
        <v>54</v>
      </c>
      <c r="C7" s="38">
        <v>36</v>
      </c>
      <c r="D7" s="38" t="s">
        <v>55</v>
      </c>
      <c r="E7" s="38" t="s">
        <v>55</v>
      </c>
      <c r="F7" s="38" t="s">
        <v>56</v>
      </c>
      <c r="G7" s="38" t="s">
        <v>57</v>
      </c>
      <c r="H7" s="38" t="s">
        <v>57</v>
      </c>
      <c r="I7" s="38" t="s">
        <v>56</v>
      </c>
      <c r="J7" s="38" t="s">
        <v>55</v>
      </c>
      <c r="K7" s="38" t="s">
        <v>55</v>
      </c>
      <c r="L7" s="38" t="s">
        <v>56</v>
      </c>
      <c r="M7" s="38" t="s">
        <v>55</v>
      </c>
      <c r="N7" s="38" t="s">
        <v>56</v>
      </c>
      <c r="O7" s="38" t="s">
        <v>55</v>
      </c>
      <c r="P7" s="38" t="s">
        <v>57</v>
      </c>
      <c r="Q7" s="38" t="s">
        <v>58</v>
      </c>
      <c r="R7" s="38" t="s">
        <v>58</v>
      </c>
      <c r="S7" s="38" t="s">
        <v>55</v>
      </c>
      <c r="T7" s="38" t="s">
        <v>163</v>
      </c>
    </row>
    <row r="8" spans="1:20" ht="27">
      <c r="A8" s="39" t="s">
        <v>164</v>
      </c>
      <c r="B8" s="40" t="s">
        <v>54</v>
      </c>
      <c r="C8" s="40">
        <v>36</v>
      </c>
      <c r="D8" s="40" t="s">
        <v>55</v>
      </c>
      <c r="E8" s="40" t="s">
        <v>55</v>
      </c>
      <c r="F8" s="40" t="s">
        <v>56</v>
      </c>
      <c r="G8" s="40" t="s">
        <v>57</v>
      </c>
      <c r="H8" s="40" t="s">
        <v>56</v>
      </c>
      <c r="I8" s="40" t="s">
        <v>57</v>
      </c>
      <c r="J8" s="40" t="s">
        <v>165</v>
      </c>
      <c r="K8" s="40" t="s">
        <v>53</v>
      </c>
      <c r="L8" s="40" t="s">
        <v>56</v>
      </c>
      <c r="M8" s="40" t="s">
        <v>55</v>
      </c>
      <c r="N8" s="40" t="s">
        <v>56</v>
      </c>
      <c r="O8" s="40" t="s">
        <v>55</v>
      </c>
      <c r="P8" s="40" t="s">
        <v>56</v>
      </c>
      <c r="Q8" s="40" t="s">
        <v>55</v>
      </c>
      <c r="R8" s="40" t="s">
        <v>55</v>
      </c>
      <c r="S8" s="40" t="s">
        <v>55</v>
      </c>
      <c r="T8" s="40" t="s">
        <v>166</v>
      </c>
    </row>
    <row r="9" spans="1:20" ht="25.5">
      <c r="A9" s="39" t="s">
        <v>167</v>
      </c>
      <c r="B9" s="40" t="s">
        <v>92</v>
      </c>
      <c r="C9" s="40" t="s">
        <v>55</v>
      </c>
      <c r="D9" s="40" t="s">
        <v>55</v>
      </c>
      <c r="E9" s="40" t="s">
        <v>55</v>
      </c>
      <c r="F9" s="40" t="s">
        <v>56</v>
      </c>
      <c r="G9" s="40" t="s">
        <v>57</v>
      </c>
      <c r="H9" s="40" t="s">
        <v>56</v>
      </c>
      <c r="I9" s="40" t="s">
        <v>56</v>
      </c>
      <c r="J9" s="40" t="s">
        <v>55</v>
      </c>
      <c r="K9" s="40" t="s">
        <v>55</v>
      </c>
      <c r="L9" s="40" t="s">
        <v>56</v>
      </c>
      <c r="M9" s="40" t="s">
        <v>55</v>
      </c>
      <c r="N9" s="40" t="s">
        <v>56</v>
      </c>
      <c r="O9" s="40" t="s">
        <v>55</v>
      </c>
      <c r="P9" s="40" t="s">
        <v>56</v>
      </c>
      <c r="Q9" s="40" t="s">
        <v>55</v>
      </c>
      <c r="R9" s="40" t="s">
        <v>55</v>
      </c>
      <c r="S9" s="40" t="s">
        <v>55</v>
      </c>
      <c r="T9" s="40" t="s">
        <v>168</v>
      </c>
    </row>
    <row r="10" spans="1:20">
      <c r="A10" s="39" t="s">
        <v>169</v>
      </c>
      <c r="B10" s="40" t="s">
        <v>54</v>
      </c>
      <c r="C10" s="40">
        <v>36</v>
      </c>
      <c r="D10" s="40" t="s">
        <v>55</v>
      </c>
      <c r="E10" s="40" t="s">
        <v>55</v>
      </c>
      <c r="F10" s="40" t="s">
        <v>56</v>
      </c>
      <c r="G10" s="40" t="s">
        <v>57</v>
      </c>
      <c r="H10" s="40" t="s">
        <v>56</v>
      </c>
      <c r="I10" s="40" t="s">
        <v>56</v>
      </c>
      <c r="J10" s="40" t="s">
        <v>55</v>
      </c>
      <c r="K10" s="40" t="s">
        <v>55</v>
      </c>
      <c r="L10" s="40" t="s">
        <v>56</v>
      </c>
      <c r="M10" s="40" t="s">
        <v>55</v>
      </c>
      <c r="N10" s="40" t="s">
        <v>56</v>
      </c>
      <c r="O10" s="40" t="s">
        <v>55</v>
      </c>
      <c r="P10" s="40" t="s">
        <v>56</v>
      </c>
      <c r="Q10" s="40" t="s">
        <v>55</v>
      </c>
      <c r="R10" s="40" t="s">
        <v>55</v>
      </c>
      <c r="S10" s="40" t="s">
        <v>55</v>
      </c>
      <c r="T10" s="40" t="s">
        <v>170</v>
      </c>
    </row>
    <row r="11" spans="1:20" ht="25.5">
      <c r="A11" s="39" t="s">
        <v>171</v>
      </c>
      <c r="B11" s="40" t="s">
        <v>54</v>
      </c>
      <c r="C11" s="40">
        <v>36</v>
      </c>
      <c r="D11" s="40" t="s">
        <v>55</v>
      </c>
      <c r="E11" s="40" t="s">
        <v>55</v>
      </c>
      <c r="F11" s="40" t="s">
        <v>56</v>
      </c>
      <c r="G11" s="40" t="s">
        <v>57</v>
      </c>
      <c r="H11" s="40" t="s">
        <v>56</v>
      </c>
      <c r="I11" s="40" t="s">
        <v>57</v>
      </c>
      <c r="J11" s="40" t="s">
        <v>172</v>
      </c>
      <c r="K11" s="40" t="s">
        <v>53</v>
      </c>
      <c r="L11" s="40" t="s">
        <v>56</v>
      </c>
      <c r="M11" s="40" t="s">
        <v>55</v>
      </c>
      <c r="N11" s="40" t="s">
        <v>56</v>
      </c>
      <c r="O11" s="40" t="s">
        <v>55</v>
      </c>
      <c r="P11" s="40" t="s">
        <v>56</v>
      </c>
      <c r="Q11" s="40" t="s">
        <v>55</v>
      </c>
      <c r="R11" s="40" t="s">
        <v>55</v>
      </c>
      <c r="S11" s="40" t="s">
        <v>55</v>
      </c>
      <c r="T11" s="40" t="s">
        <v>173</v>
      </c>
    </row>
    <row r="12" spans="1:20" ht="27">
      <c r="A12" s="39" t="s">
        <v>174</v>
      </c>
      <c r="B12" s="40" t="s">
        <v>54</v>
      </c>
      <c r="C12" s="40">
        <v>36</v>
      </c>
      <c r="D12" s="40" t="s">
        <v>55</v>
      </c>
      <c r="E12" s="40" t="s">
        <v>55</v>
      </c>
      <c r="F12" s="40" t="s">
        <v>56</v>
      </c>
      <c r="G12" s="40" t="s">
        <v>57</v>
      </c>
      <c r="H12" s="40" t="s">
        <v>56</v>
      </c>
      <c r="I12" s="40" t="s">
        <v>57</v>
      </c>
      <c r="J12" s="40" t="s">
        <v>121</v>
      </c>
      <c r="K12" s="40" t="s">
        <v>53</v>
      </c>
      <c r="L12" s="40" t="s">
        <v>56</v>
      </c>
      <c r="M12" s="40" t="s">
        <v>55</v>
      </c>
      <c r="N12" s="40" t="s">
        <v>56</v>
      </c>
      <c r="O12" s="40" t="s">
        <v>55</v>
      </c>
      <c r="P12" s="40" t="s">
        <v>56</v>
      </c>
      <c r="Q12" s="40" t="s">
        <v>55</v>
      </c>
      <c r="R12" s="40" t="s">
        <v>55</v>
      </c>
      <c r="S12" s="40" t="s">
        <v>55</v>
      </c>
      <c r="T12" s="40" t="s">
        <v>175</v>
      </c>
    </row>
    <row r="13" spans="1:20">
      <c r="A13" s="39" t="s">
        <v>176</v>
      </c>
      <c r="B13" s="40" t="s">
        <v>177</v>
      </c>
      <c r="C13" s="40" t="s">
        <v>55</v>
      </c>
      <c r="D13" s="40" t="s">
        <v>55</v>
      </c>
      <c r="E13" s="40" t="s">
        <v>55</v>
      </c>
      <c r="F13" s="40" t="s">
        <v>56</v>
      </c>
      <c r="G13" s="40" t="s">
        <v>56</v>
      </c>
      <c r="H13" s="40" t="s">
        <v>56</v>
      </c>
      <c r="I13" s="40" t="s">
        <v>56</v>
      </c>
      <c r="J13" s="40" t="s">
        <v>55</v>
      </c>
      <c r="K13" s="40" t="s">
        <v>55</v>
      </c>
      <c r="L13" s="40" t="s">
        <v>56</v>
      </c>
      <c r="M13" s="40" t="s">
        <v>55</v>
      </c>
      <c r="N13" s="40" t="s">
        <v>56</v>
      </c>
      <c r="O13" s="40" t="s">
        <v>55</v>
      </c>
      <c r="P13" s="40" t="s">
        <v>56</v>
      </c>
      <c r="Q13" s="40" t="s">
        <v>55</v>
      </c>
      <c r="R13" s="40" t="s">
        <v>55</v>
      </c>
      <c r="S13" s="40" t="s">
        <v>55</v>
      </c>
      <c r="T13" s="40" t="s">
        <v>178</v>
      </c>
    </row>
    <row r="14" spans="1:20">
      <c r="A14" s="39" t="s">
        <v>179</v>
      </c>
      <c r="B14" s="40" t="s">
        <v>145</v>
      </c>
      <c r="C14" s="40" t="s">
        <v>55</v>
      </c>
      <c r="D14" s="40" t="s">
        <v>55</v>
      </c>
      <c r="E14" s="40" t="s">
        <v>55</v>
      </c>
      <c r="F14" s="40" t="s">
        <v>56</v>
      </c>
      <c r="G14" s="40" t="s">
        <v>56</v>
      </c>
      <c r="H14" s="40" t="s">
        <v>56</v>
      </c>
      <c r="I14" s="40" t="s">
        <v>56</v>
      </c>
      <c r="J14" s="40" t="s">
        <v>55</v>
      </c>
      <c r="K14" s="40" t="s">
        <v>55</v>
      </c>
      <c r="L14" s="40" t="s">
        <v>56</v>
      </c>
      <c r="M14" s="40" t="s">
        <v>55</v>
      </c>
      <c r="N14" s="40" t="s">
        <v>56</v>
      </c>
      <c r="O14" s="40" t="s">
        <v>55</v>
      </c>
      <c r="P14" s="40" t="s">
        <v>56</v>
      </c>
      <c r="Q14" s="40" t="s">
        <v>55</v>
      </c>
      <c r="R14" s="40" t="s">
        <v>55</v>
      </c>
      <c r="S14" s="40" t="s">
        <v>55</v>
      </c>
      <c r="T14" s="40" t="s">
        <v>180</v>
      </c>
    </row>
    <row r="15" spans="1:20">
      <c r="A15" s="39" t="s">
        <v>181</v>
      </c>
      <c r="B15" s="40" t="s">
        <v>145</v>
      </c>
      <c r="C15" s="40" t="s">
        <v>55</v>
      </c>
      <c r="D15" s="40" t="s">
        <v>55</v>
      </c>
      <c r="E15" s="40" t="s">
        <v>55</v>
      </c>
      <c r="F15" s="40" t="s">
        <v>56</v>
      </c>
      <c r="G15" s="40" t="s">
        <v>56</v>
      </c>
      <c r="H15" s="40" t="s">
        <v>56</v>
      </c>
      <c r="I15" s="40" t="s">
        <v>56</v>
      </c>
      <c r="J15" s="40" t="s">
        <v>55</v>
      </c>
      <c r="K15" s="40" t="s">
        <v>55</v>
      </c>
      <c r="L15" s="40" t="s">
        <v>56</v>
      </c>
      <c r="M15" s="40" t="s">
        <v>55</v>
      </c>
      <c r="N15" s="40" t="s">
        <v>56</v>
      </c>
      <c r="O15" s="40" t="s">
        <v>55</v>
      </c>
      <c r="P15" s="40" t="s">
        <v>56</v>
      </c>
      <c r="Q15" s="40" t="s">
        <v>55</v>
      </c>
      <c r="R15" s="40" t="s">
        <v>55</v>
      </c>
      <c r="S15" s="40" t="s">
        <v>55</v>
      </c>
      <c r="T15" s="40" t="s">
        <v>182</v>
      </c>
    </row>
    <row r="16" spans="1:20">
      <c r="A16" s="39" t="s">
        <v>183</v>
      </c>
      <c r="B16" s="40" t="s">
        <v>145</v>
      </c>
      <c r="C16" s="40" t="s">
        <v>55</v>
      </c>
      <c r="D16" s="40" t="s">
        <v>55</v>
      </c>
      <c r="E16" s="40" t="s">
        <v>55</v>
      </c>
      <c r="F16" s="40" t="s">
        <v>56</v>
      </c>
      <c r="G16" s="40" t="s">
        <v>56</v>
      </c>
      <c r="H16" s="40" t="s">
        <v>56</v>
      </c>
      <c r="I16" s="40" t="s">
        <v>56</v>
      </c>
      <c r="J16" s="40" t="s">
        <v>55</v>
      </c>
      <c r="K16" s="40" t="s">
        <v>55</v>
      </c>
      <c r="L16" s="40" t="s">
        <v>56</v>
      </c>
      <c r="M16" s="40" t="s">
        <v>55</v>
      </c>
      <c r="N16" s="40" t="s">
        <v>56</v>
      </c>
      <c r="O16" s="40" t="s">
        <v>55</v>
      </c>
      <c r="P16" s="40" t="s">
        <v>56</v>
      </c>
      <c r="Q16" s="40" t="s">
        <v>55</v>
      </c>
      <c r="R16" s="40" t="s">
        <v>55</v>
      </c>
      <c r="S16" s="40" t="s">
        <v>55</v>
      </c>
      <c r="T16" s="40" t="s">
        <v>184</v>
      </c>
    </row>
    <row r="17" spans="1:20" ht="27">
      <c r="A17" s="39" t="s">
        <v>185</v>
      </c>
      <c r="B17" s="40" t="s">
        <v>145</v>
      </c>
      <c r="C17" s="40" t="s">
        <v>55</v>
      </c>
      <c r="D17" s="40" t="s">
        <v>55</v>
      </c>
      <c r="E17" s="40" t="s">
        <v>55</v>
      </c>
      <c r="F17" s="40" t="s">
        <v>56</v>
      </c>
      <c r="G17" s="40" t="s">
        <v>56</v>
      </c>
      <c r="H17" s="40" t="s">
        <v>56</v>
      </c>
      <c r="I17" s="40" t="s">
        <v>56</v>
      </c>
      <c r="J17" s="40" t="s">
        <v>55</v>
      </c>
      <c r="K17" s="40" t="s">
        <v>55</v>
      </c>
      <c r="L17" s="40" t="s">
        <v>56</v>
      </c>
      <c r="M17" s="40" t="s">
        <v>55</v>
      </c>
      <c r="N17" s="40" t="s">
        <v>56</v>
      </c>
      <c r="O17" s="40" t="s">
        <v>55</v>
      </c>
      <c r="P17" s="40" t="s">
        <v>56</v>
      </c>
      <c r="Q17" s="40" t="s">
        <v>55</v>
      </c>
      <c r="R17" s="40" t="s">
        <v>55</v>
      </c>
      <c r="S17" s="40" t="s">
        <v>55</v>
      </c>
      <c r="T17" s="40" t="s">
        <v>186</v>
      </c>
    </row>
    <row r="18" spans="1:20" ht="40.5">
      <c r="A18" s="39" t="s">
        <v>187</v>
      </c>
      <c r="B18" s="40" t="s">
        <v>188</v>
      </c>
      <c r="C18" s="40" t="s">
        <v>55</v>
      </c>
      <c r="D18" s="40" t="s">
        <v>55</v>
      </c>
      <c r="E18" s="40" t="s">
        <v>55</v>
      </c>
      <c r="F18" s="40" t="s">
        <v>56</v>
      </c>
      <c r="G18" s="40" t="s">
        <v>56</v>
      </c>
      <c r="H18" s="40" t="s">
        <v>56</v>
      </c>
      <c r="I18" s="40" t="s">
        <v>56</v>
      </c>
      <c r="J18" s="40" t="s">
        <v>55</v>
      </c>
      <c r="K18" s="40" t="s">
        <v>55</v>
      </c>
      <c r="L18" s="40" t="s">
        <v>56</v>
      </c>
      <c r="M18" s="40" t="s">
        <v>55</v>
      </c>
      <c r="N18" s="40" t="s">
        <v>56</v>
      </c>
      <c r="O18" s="40" t="s">
        <v>55</v>
      </c>
      <c r="P18" s="40" t="s">
        <v>56</v>
      </c>
      <c r="Q18" s="40" t="s">
        <v>55</v>
      </c>
      <c r="R18" s="40" t="s">
        <v>55</v>
      </c>
      <c r="S18" s="40" t="s">
        <v>189</v>
      </c>
      <c r="T18" s="40" t="s">
        <v>190</v>
      </c>
    </row>
    <row r="19" spans="1:20" ht="27">
      <c r="A19" s="39" t="s">
        <v>191</v>
      </c>
      <c r="B19" s="40" t="s">
        <v>54</v>
      </c>
      <c r="C19" s="40">
        <v>100</v>
      </c>
      <c r="D19" s="40" t="s">
        <v>55</v>
      </c>
      <c r="E19" s="40" t="s">
        <v>55</v>
      </c>
      <c r="F19" s="40" t="s">
        <v>56</v>
      </c>
      <c r="G19" s="40" t="s">
        <v>56</v>
      </c>
      <c r="H19" s="40" t="s">
        <v>56</v>
      </c>
      <c r="I19" s="40" t="s">
        <v>56</v>
      </c>
      <c r="J19" s="40" t="s">
        <v>55</v>
      </c>
      <c r="K19" s="40" t="s">
        <v>55</v>
      </c>
      <c r="L19" s="40" t="s">
        <v>56</v>
      </c>
      <c r="M19" s="40" t="s">
        <v>55</v>
      </c>
      <c r="N19" s="40" t="s">
        <v>56</v>
      </c>
      <c r="O19" s="40" t="s">
        <v>55</v>
      </c>
      <c r="P19" s="40" t="s">
        <v>56</v>
      </c>
      <c r="Q19" s="40" t="s">
        <v>55</v>
      </c>
      <c r="R19" s="40" t="s">
        <v>55</v>
      </c>
      <c r="S19" s="40" t="s">
        <v>55</v>
      </c>
      <c r="T19" s="40" t="s">
        <v>192</v>
      </c>
    </row>
    <row r="20" spans="1:20" ht="40.5">
      <c r="A20" s="39" t="s">
        <v>193</v>
      </c>
      <c r="B20" s="40" t="s">
        <v>188</v>
      </c>
      <c r="C20" s="40" t="s">
        <v>55</v>
      </c>
      <c r="D20" s="40" t="s">
        <v>55</v>
      </c>
      <c r="E20" s="40" t="s">
        <v>55</v>
      </c>
      <c r="F20" s="40" t="s">
        <v>56</v>
      </c>
      <c r="G20" s="40" t="s">
        <v>56</v>
      </c>
      <c r="H20" s="40" t="s">
        <v>56</v>
      </c>
      <c r="I20" s="40" t="s">
        <v>56</v>
      </c>
      <c r="J20" s="40" t="s">
        <v>55</v>
      </c>
      <c r="K20" s="40" t="s">
        <v>55</v>
      </c>
      <c r="L20" s="40" t="s">
        <v>56</v>
      </c>
      <c r="M20" s="40" t="s">
        <v>55</v>
      </c>
      <c r="N20" s="40" t="s">
        <v>56</v>
      </c>
      <c r="O20" s="40" t="s">
        <v>55</v>
      </c>
      <c r="P20" s="40" t="s">
        <v>56</v>
      </c>
      <c r="Q20" s="40" t="s">
        <v>55</v>
      </c>
      <c r="R20" s="40" t="s">
        <v>55</v>
      </c>
      <c r="S20" s="40" t="s">
        <v>194</v>
      </c>
      <c r="T20" s="40" t="s">
        <v>195</v>
      </c>
    </row>
    <row r="21" spans="1:20" ht="27">
      <c r="A21" s="39" t="s">
        <v>196</v>
      </c>
      <c r="B21" s="40" t="s">
        <v>145</v>
      </c>
      <c r="C21" s="40" t="s">
        <v>55</v>
      </c>
      <c r="D21" s="40" t="s">
        <v>55</v>
      </c>
      <c r="E21" s="40" t="s">
        <v>55</v>
      </c>
      <c r="F21" s="40" t="s">
        <v>56</v>
      </c>
      <c r="G21" s="40" t="s">
        <v>56</v>
      </c>
      <c r="H21" s="40" t="s">
        <v>56</v>
      </c>
      <c r="I21" s="40" t="s">
        <v>56</v>
      </c>
      <c r="J21" s="40" t="s">
        <v>55</v>
      </c>
      <c r="K21" s="40" t="s">
        <v>55</v>
      </c>
      <c r="L21" s="40" t="s">
        <v>56</v>
      </c>
      <c r="M21" s="40" t="s">
        <v>55</v>
      </c>
      <c r="N21" s="40" t="s">
        <v>56</v>
      </c>
      <c r="O21" s="40" t="s">
        <v>55</v>
      </c>
      <c r="P21" s="40" t="s">
        <v>56</v>
      </c>
      <c r="Q21" s="40" t="s">
        <v>55</v>
      </c>
      <c r="R21" s="40" t="s">
        <v>55</v>
      </c>
      <c r="S21" s="40" t="s">
        <v>55</v>
      </c>
      <c r="T21" s="40" t="s">
        <v>197</v>
      </c>
    </row>
    <row r="22" spans="1:20" ht="27">
      <c r="A22" s="39" t="s">
        <v>198</v>
      </c>
      <c r="B22" s="40" t="s">
        <v>145</v>
      </c>
      <c r="C22" s="40" t="s">
        <v>55</v>
      </c>
      <c r="D22" s="40" t="s">
        <v>55</v>
      </c>
      <c r="E22" s="40" t="s">
        <v>55</v>
      </c>
      <c r="F22" s="40" t="s">
        <v>56</v>
      </c>
      <c r="G22" s="40" t="s">
        <v>56</v>
      </c>
      <c r="H22" s="40" t="s">
        <v>56</v>
      </c>
      <c r="I22" s="40" t="s">
        <v>56</v>
      </c>
      <c r="J22" s="40" t="s">
        <v>55</v>
      </c>
      <c r="K22" s="40" t="s">
        <v>55</v>
      </c>
      <c r="L22" s="40" t="s">
        <v>56</v>
      </c>
      <c r="M22" s="40" t="s">
        <v>55</v>
      </c>
      <c r="N22" s="40" t="s">
        <v>56</v>
      </c>
      <c r="O22" s="40" t="s">
        <v>55</v>
      </c>
      <c r="P22" s="40" t="s">
        <v>56</v>
      </c>
      <c r="Q22" s="40" t="s">
        <v>55</v>
      </c>
      <c r="R22" s="40" t="s">
        <v>55</v>
      </c>
      <c r="S22" s="40" t="s">
        <v>55</v>
      </c>
      <c r="T22" s="40" t="s">
        <v>199</v>
      </c>
    </row>
    <row r="23" spans="1:20" ht="27">
      <c r="A23" s="39" t="s">
        <v>200</v>
      </c>
      <c r="B23" s="40" t="s">
        <v>188</v>
      </c>
      <c r="C23" s="40" t="s">
        <v>55</v>
      </c>
      <c r="D23" s="40" t="s">
        <v>55</v>
      </c>
      <c r="E23" s="40" t="s">
        <v>55</v>
      </c>
      <c r="F23" s="40" t="s">
        <v>56</v>
      </c>
      <c r="G23" s="40" t="s">
        <v>56</v>
      </c>
      <c r="H23" s="40" t="s">
        <v>56</v>
      </c>
      <c r="I23" s="40" t="s">
        <v>56</v>
      </c>
      <c r="J23" s="40" t="s">
        <v>55</v>
      </c>
      <c r="K23" s="40" t="s">
        <v>55</v>
      </c>
      <c r="L23" s="40" t="s">
        <v>56</v>
      </c>
      <c r="M23" s="40" t="s">
        <v>55</v>
      </c>
      <c r="N23" s="40" t="s">
        <v>56</v>
      </c>
      <c r="O23" s="40" t="s">
        <v>55</v>
      </c>
      <c r="P23" s="40" t="s">
        <v>56</v>
      </c>
      <c r="Q23" s="40" t="s">
        <v>55</v>
      </c>
      <c r="R23" s="40" t="s">
        <v>55</v>
      </c>
      <c r="S23" s="40" t="s">
        <v>201</v>
      </c>
      <c r="T23" s="40" t="s">
        <v>202</v>
      </c>
    </row>
    <row r="24" spans="1:20" ht="27">
      <c r="A24" s="39" t="s">
        <v>203</v>
      </c>
      <c r="B24" s="40" t="s">
        <v>54</v>
      </c>
      <c r="C24" s="40">
        <v>20</v>
      </c>
      <c r="D24" s="40" t="s">
        <v>55</v>
      </c>
      <c r="E24" s="40" t="s">
        <v>55</v>
      </c>
      <c r="F24" s="40" t="s">
        <v>56</v>
      </c>
      <c r="G24" s="40" t="s">
        <v>56</v>
      </c>
      <c r="H24" s="40" t="s">
        <v>56</v>
      </c>
      <c r="I24" s="40" t="s">
        <v>56</v>
      </c>
      <c r="J24" s="40" t="s">
        <v>55</v>
      </c>
      <c r="K24" s="40" t="s">
        <v>55</v>
      </c>
      <c r="L24" s="40" t="s">
        <v>56</v>
      </c>
      <c r="M24" s="40" t="s">
        <v>55</v>
      </c>
      <c r="N24" s="40" t="s">
        <v>56</v>
      </c>
      <c r="O24" s="40" t="s">
        <v>55</v>
      </c>
      <c r="P24" s="40" t="s">
        <v>56</v>
      </c>
      <c r="Q24" s="40" t="s">
        <v>55</v>
      </c>
      <c r="R24" s="40" t="s">
        <v>55</v>
      </c>
      <c r="S24" s="40" t="s">
        <v>55</v>
      </c>
      <c r="T24" s="40" t="s">
        <v>204</v>
      </c>
    </row>
    <row r="25" spans="1:20" ht="27">
      <c r="A25" s="39" t="s">
        <v>205</v>
      </c>
      <c r="B25" s="40" t="s">
        <v>54</v>
      </c>
      <c r="C25" s="40">
        <v>36</v>
      </c>
      <c r="D25" s="40" t="s">
        <v>55</v>
      </c>
      <c r="E25" s="40" t="s">
        <v>55</v>
      </c>
      <c r="F25" s="40" t="s">
        <v>56</v>
      </c>
      <c r="G25" s="40" t="s">
        <v>56</v>
      </c>
      <c r="H25" s="40" t="s">
        <v>56</v>
      </c>
      <c r="I25" s="40" t="s">
        <v>57</v>
      </c>
      <c r="J25" s="40" t="s">
        <v>157</v>
      </c>
      <c r="K25" s="40" t="s">
        <v>53</v>
      </c>
      <c r="L25" s="40" t="s">
        <v>56</v>
      </c>
      <c r="M25" s="40" t="s">
        <v>55</v>
      </c>
      <c r="N25" s="40" t="s">
        <v>56</v>
      </c>
      <c r="O25" s="40" t="s">
        <v>55</v>
      </c>
      <c r="P25" s="40" t="s">
        <v>56</v>
      </c>
      <c r="Q25" s="40" t="s">
        <v>55</v>
      </c>
      <c r="R25" s="40" t="s">
        <v>55</v>
      </c>
      <c r="S25" s="40" t="s">
        <v>55</v>
      </c>
      <c r="T25" s="40" t="s">
        <v>206</v>
      </c>
    </row>
  </sheetData>
  <mergeCells count="18">
    <mergeCell ref="A1:E1"/>
    <mergeCell ref="B2:E2"/>
    <mergeCell ref="B3:E3"/>
    <mergeCell ref="A4:T4"/>
    <mergeCell ref="A5:A6"/>
    <mergeCell ref="B5:B6"/>
    <mergeCell ref="C5:C6"/>
    <mergeCell ref="D5:D6"/>
    <mergeCell ref="E5:E6"/>
    <mergeCell ref="F5:F6"/>
    <mergeCell ref="S5:S6"/>
    <mergeCell ref="T5:T6"/>
    <mergeCell ref="G5:G6"/>
    <mergeCell ref="H5:H6"/>
    <mergeCell ref="I5:K5"/>
    <mergeCell ref="L5:M5"/>
    <mergeCell ref="N5:O5"/>
    <mergeCell ref="P5:R5"/>
  </mergeCells>
  <hyperlinks>
    <hyperlink ref="A1:E1" location="Clases!A1" display="&lt;-Volver al inicio" xr:uid="{1C11730A-F7CB-42CF-969E-26F0A2206AC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4255B-06ED-4A6E-965B-F48D8C3AECD6}">
  <dimension ref="A1:T20"/>
  <sheetViews>
    <sheetView topLeftCell="O1" zoomScaleNormal="100" workbookViewId="0">
      <pane ySplit="1" topLeftCell="A3" activePane="bottomLeft" state="frozen"/>
      <selection pane="bottomLeft" activeCell="P17" sqref="P17"/>
    </sheetView>
  </sheetViews>
  <sheetFormatPr defaultColWidth="19.7109375" defaultRowHeight="15"/>
  <cols>
    <col min="1" max="1" width="23" style="1" customWidth="1"/>
    <col min="2" max="2" width="17.5703125" style="1" bestFit="1" customWidth="1"/>
    <col min="3" max="3" width="12.5703125" style="1" bestFit="1" customWidth="1"/>
    <col min="4" max="4" width="38" style="1" bestFit="1" customWidth="1"/>
    <col min="5" max="5" width="87.42578125" style="1" customWidth="1"/>
    <col min="6" max="6" width="26.5703125" style="1" bestFit="1" customWidth="1"/>
    <col min="7" max="7" width="22.28515625" style="1" bestFit="1" customWidth="1"/>
    <col min="8" max="8" width="46.5703125" style="1" bestFit="1" customWidth="1"/>
    <col min="9" max="9" width="23.7109375" style="1" bestFit="1" customWidth="1"/>
    <col min="10" max="10" width="11.28515625" style="1" bestFit="1" customWidth="1"/>
    <col min="11" max="11" width="15.42578125" style="1" bestFit="1" customWidth="1"/>
    <col min="12" max="12" width="48.140625" style="1" customWidth="1"/>
    <col min="13" max="13" width="58.85546875" style="1" bestFit="1" customWidth="1"/>
    <col min="14" max="14" width="62.42578125" style="1" bestFit="1" customWidth="1"/>
    <col min="15" max="15" width="58.5703125" style="1" bestFit="1" customWidth="1"/>
    <col min="16" max="16" width="59.85546875" style="1" bestFit="1" customWidth="1"/>
    <col min="17" max="17" width="10.5703125" style="1" customWidth="1"/>
    <col min="18" max="18" width="56.28515625" style="1" bestFit="1" customWidth="1"/>
    <col min="19" max="19" width="8.140625" style="1" bestFit="1" customWidth="1"/>
    <col min="20" max="20" width="52.42578125" style="1" customWidth="1"/>
    <col min="21" max="16384" width="19.7109375" style="1"/>
  </cols>
  <sheetData>
    <row r="1" spans="1:20">
      <c r="A1" s="20" t="s">
        <v>28</v>
      </c>
      <c r="B1" s="20"/>
      <c r="C1" s="20"/>
      <c r="D1" s="20"/>
      <c r="E1" s="20"/>
    </row>
    <row r="2" spans="1:20" ht="13.5" customHeight="1">
      <c r="A2" s="2" t="str">
        <f>Entidades!$A$1</f>
        <v>Entidad</v>
      </c>
      <c r="B2" s="26" t="str">
        <f>Entidades!A13</f>
        <v>Resumen de vuelos del empleado</v>
      </c>
      <c r="C2" s="26"/>
      <c r="D2" s="26"/>
      <c r="E2" s="27"/>
    </row>
    <row r="3" spans="1:20" ht="28.5" customHeight="1">
      <c r="A3" s="3" t="str">
        <f>Entidades!$B$1</f>
        <v>Desripción</v>
      </c>
      <c r="B3" s="35" t="str">
        <f>Entidades!B13</f>
        <v>Entidad que contiene la información del  resumen acumulado de horas de vuelo de un empleado. Contiene tipo de período, año, totales de tiempo de aire, tiempo de bloque, tiempo de servicio, vuelos, aterrizajes y aproximaciones de categoría.</v>
      </c>
      <c r="C3" s="35"/>
      <c r="D3" s="35"/>
      <c r="E3" s="36"/>
    </row>
    <row r="4" spans="1:20">
      <c r="A4" s="21" t="s">
        <v>29</v>
      </c>
      <c r="B4" s="22"/>
      <c r="C4" s="22"/>
      <c r="D4" s="22"/>
      <c r="E4" s="22"/>
      <c r="F4" s="22"/>
      <c r="G4" s="22"/>
      <c r="H4" s="22"/>
      <c r="I4" s="22"/>
      <c r="J4" s="22"/>
      <c r="K4" s="22"/>
      <c r="L4" s="22"/>
      <c r="M4" s="22"/>
      <c r="N4" s="22"/>
      <c r="O4" s="22"/>
      <c r="P4" s="22"/>
      <c r="Q4" s="22"/>
      <c r="R4" s="22"/>
      <c r="S4" s="22"/>
      <c r="T4" s="23"/>
    </row>
    <row r="5" spans="1:20" s="5" customFormat="1">
      <c r="A5" s="17" t="s">
        <v>30</v>
      </c>
      <c r="B5" s="16" t="s">
        <v>31</v>
      </c>
      <c r="C5" s="16" t="s">
        <v>32</v>
      </c>
      <c r="D5" s="16" t="s">
        <v>33</v>
      </c>
      <c r="E5" s="16" t="s">
        <v>34</v>
      </c>
      <c r="F5" s="16" t="s">
        <v>35</v>
      </c>
      <c r="G5" s="16" t="s">
        <v>36</v>
      </c>
      <c r="H5" s="24" t="s">
        <v>37</v>
      </c>
      <c r="I5" s="16" t="s">
        <v>38</v>
      </c>
      <c r="J5" s="16"/>
      <c r="K5" s="16"/>
      <c r="L5" s="16" t="s">
        <v>39</v>
      </c>
      <c r="M5" s="16"/>
      <c r="N5" s="16" t="s">
        <v>40</v>
      </c>
      <c r="O5" s="16"/>
      <c r="P5" s="16" t="s">
        <v>41</v>
      </c>
      <c r="Q5" s="16"/>
      <c r="R5" s="16"/>
      <c r="S5" s="16" t="s">
        <v>42</v>
      </c>
      <c r="T5" s="30" t="s">
        <v>43</v>
      </c>
    </row>
    <row r="6" spans="1:20" s="5" customFormat="1">
      <c r="A6" s="18"/>
      <c r="B6" s="19"/>
      <c r="C6" s="19"/>
      <c r="D6" s="19"/>
      <c r="E6" s="19"/>
      <c r="F6" s="19"/>
      <c r="G6" s="19"/>
      <c r="H6" s="25"/>
      <c r="I6" s="4" t="s">
        <v>44</v>
      </c>
      <c r="J6" s="4" t="s">
        <v>0</v>
      </c>
      <c r="K6" s="4" t="s">
        <v>45</v>
      </c>
      <c r="L6" s="4" t="s">
        <v>46</v>
      </c>
      <c r="M6" s="4" t="s">
        <v>47</v>
      </c>
      <c r="N6" s="4" t="s">
        <v>48</v>
      </c>
      <c r="O6" s="4" t="s">
        <v>49</v>
      </c>
      <c r="P6" s="4" t="s">
        <v>50</v>
      </c>
      <c r="Q6" s="4" t="s">
        <v>51</v>
      </c>
      <c r="R6" s="4" t="s">
        <v>52</v>
      </c>
      <c r="S6" s="19"/>
      <c r="T6" s="31"/>
    </row>
    <row r="7" spans="1:20" ht="27">
      <c r="A7" s="37" t="s">
        <v>53</v>
      </c>
      <c r="B7" s="38" t="s">
        <v>54</v>
      </c>
      <c r="C7" s="38">
        <v>36</v>
      </c>
      <c r="D7" s="38" t="s">
        <v>55</v>
      </c>
      <c r="E7" s="38" t="s">
        <v>55</v>
      </c>
      <c r="F7" s="38" t="s">
        <v>56</v>
      </c>
      <c r="G7" s="38" t="s">
        <v>57</v>
      </c>
      <c r="H7" s="38" t="s">
        <v>57</v>
      </c>
      <c r="I7" s="38" t="s">
        <v>56</v>
      </c>
      <c r="J7" s="38" t="s">
        <v>55</v>
      </c>
      <c r="K7" s="38" t="s">
        <v>55</v>
      </c>
      <c r="L7" s="38" t="s">
        <v>56</v>
      </c>
      <c r="M7" s="38" t="s">
        <v>55</v>
      </c>
      <c r="N7" s="38" t="s">
        <v>56</v>
      </c>
      <c r="O7" s="38" t="s">
        <v>55</v>
      </c>
      <c r="P7" s="38" t="s">
        <v>57</v>
      </c>
      <c r="Q7" s="38" t="s">
        <v>58</v>
      </c>
      <c r="R7" s="38" t="s">
        <v>58</v>
      </c>
      <c r="S7" s="38" t="s">
        <v>55</v>
      </c>
      <c r="T7" s="38" t="s">
        <v>207</v>
      </c>
    </row>
    <row r="8" spans="1:20">
      <c r="A8" s="39" t="s">
        <v>156</v>
      </c>
      <c r="B8" s="40" t="s">
        <v>54</v>
      </c>
      <c r="C8" s="40">
        <v>36</v>
      </c>
      <c r="D8" s="40" t="s">
        <v>55</v>
      </c>
      <c r="E8" s="40" t="s">
        <v>55</v>
      </c>
      <c r="F8" s="40" t="s">
        <v>56</v>
      </c>
      <c r="G8" s="40" t="s">
        <v>57</v>
      </c>
      <c r="H8" s="40" t="s">
        <v>56</v>
      </c>
      <c r="I8" s="40" t="s">
        <v>57</v>
      </c>
      <c r="J8" s="40" t="s">
        <v>157</v>
      </c>
      <c r="K8" s="40" t="s">
        <v>53</v>
      </c>
      <c r="L8" s="40" t="s">
        <v>57</v>
      </c>
      <c r="M8" s="40" t="s">
        <v>208</v>
      </c>
      <c r="N8" s="40" t="s">
        <v>56</v>
      </c>
      <c r="O8" s="40" t="s">
        <v>55</v>
      </c>
      <c r="P8" s="40" t="s">
        <v>57</v>
      </c>
      <c r="Q8" s="40" t="s">
        <v>82</v>
      </c>
      <c r="R8" s="40" t="s">
        <v>208</v>
      </c>
      <c r="S8" s="40" t="s">
        <v>55</v>
      </c>
      <c r="T8" s="40" t="s">
        <v>209</v>
      </c>
    </row>
    <row r="9" spans="1:20" ht="27">
      <c r="A9" s="39" t="s">
        <v>210</v>
      </c>
      <c r="B9" s="40" t="s">
        <v>54</v>
      </c>
      <c r="C9" s="40">
        <v>20</v>
      </c>
      <c r="D9" s="40" t="s">
        <v>55</v>
      </c>
      <c r="E9" s="40" t="s">
        <v>55</v>
      </c>
      <c r="F9" s="40" t="s">
        <v>56</v>
      </c>
      <c r="G9" s="40" t="s">
        <v>57</v>
      </c>
      <c r="H9" s="40" t="s">
        <v>56</v>
      </c>
      <c r="I9" s="40" t="s">
        <v>56</v>
      </c>
      <c r="J9" s="40" t="s">
        <v>55</v>
      </c>
      <c r="K9" s="40" t="s">
        <v>55</v>
      </c>
      <c r="L9" s="40" t="s">
        <v>57</v>
      </c>
      <c r="M9" s="40" t="s">
        <v>208</v>
      </c>
      <c r="N9" s="40" t="s">
        <v>56</v>
      </c>
      <c r="O9" s="40" t="s">
        <v>55</v>
      </c>
      <c r="P9" s="40" t="s">
        <v>57</v>
      </c>
      <c r="Q9" s="40" t="s">
        <v>82</v>
      </c>
      <c r="R9" s="40" t="s">
        <v>208</v>
      </c>
      <c r="S9" s="40" t="s">
        <v>55</v>
      </c>
      <c r="T9" s="40" t="s">
        <v>211</v>
      </c>
    </row>
    <row r="10" spans="1:20">
      <c r="A10" s="39" t="s">
        <v>212</v>
      </c>
      <c r="B10" s="40" t="s">
        <v>177</v>
      </c>
      <c r="C10" s="40" t="s">
        <v>55</v>
      </c>
      <c r="D10" s="40" t="s">
        <v>55</v>
      </c>
      <c r="E10" s="40" t="s">
        <v>55</v>
      </c>
      <c r="F10" s="40" t="s">
        <v>56</v>
      </c>
      <c r="G10" s="40" t="s">
        <v>57</v>
      </c>
      <c r="H10" s="40" t="s">
        <v>56</v>
      </c>
      <c r="I10" s="40" t="s">
        <v>56</v>
      </c>
      <c r="J10" s="40" t="s">
        <v>55</v>
      </c>
      <c r="K10" s="40" t="s">
        <v>55</v>
      </c>
      <c r="L10" s="40" t="s">
        <v>57</v>
      </c>
      <c r="M10" s="40" t="s">
        <v>208</v>
      </c>
      <c r="N10" s="40" t="s">
        <v>56</v>
      </c>
      <c r="O10" s="40" t="s">
        <v>55</v>
      </c>
      <c r="P10" s="40" t="s">
        <v>57</v>
      </c>
      <c r="Q10" s="40" t="s">
        <v>82</v>
      </c>
      <c r="R10" s="40" t="s">
        <v>208</v>
      </c>
      <c r="S10" s="40" t="s">
        <v>55</v>
      </c>
      <c r="T10" s="40" t="s">
        <v>213</v>
      </c>
    </row>
    <row r="11" spans="1:20" ht="40.5">
      <c r="A11" s="39" t="s">
        <v>214</v>
      </c>
      <c r="B11" s="40" t="s">
        <v>177</v>
      </c>
      <c r="C11" s="40" t="s">
        <v>55</v>
      </c>
      <c r="D11" s="40" t="s">
        <v>55</v>
      </c>
      <c r="E11" s="40" t="s">
        <v>55</v>
      </c>
      <c r="F11" s="40" t="s">
        <v>56</v>
      </c>
      <c r="G11" s="40" t="s">
        <v>57</v>
      </c>
      <c r="H11" s="40" t="s">
        <v>56</v>
      </c>
      <c r="I11" s="40" t="s">
        <v>56</v>
      </c>
      <c r="J11" s="40" t="s">
        <v>55</v>
      </c>
      <c r="K11" s="40" t="s">
        <v>55</v>
      </c>
      <c r="L11" s="40" t="s">
        <v>57</v>
      </c>
      <c r="M11" s="40" t="s">
        <v>208</v>
      </c>
      <c r="N11" s="40" t="s">
        <v>56</v>
      </c>
      <c r="O11" s="40" t="s">
        <v>55</v>
      </c>
      <c r="P11" s="40" t="s">
        <v>57</v>
      </c>
      <c r="Q11" s="40" t="s">
        <v>82</v>
      </c>
      <c r="R11" s="40" t="s">
        <v>208</v>
      </c>
      <c r="S11" s="40" t="s">
        <v>55</v>
      </c>
      <c r="T11" s="40" t="s">
        <v>215</v>
      </c>
    </row>
    <row r="12" spans="1:20">
      <c r="A12" s="39" t="s">
        <v>216</v>
      </c>
      <c r="B12" s="40" t="s">
        <v>92</v>
      </c>
      <c r="C12" s="40" t="s">
        <v>55</v>
      </c>
      <c r="D12" s="40" t="s">
        <v>55</v>
      </c>
      <c r="E12" s="40" t="s">
        <v>55</v>
      </c>
      <c r="F12" s="40" t="s">
        <v>56</v>
      </c>
      <c r="G12" s="40" t="s">
        <v>57</v>
      </c>
      <c r="H12" s="40" t="s">
        <v>56</v>
      </c>
      <c r="I12" s="40" t="s">
        <v>56</v>
      </c>
      <c r="J12" s="40" t="s">
        <v>55</v>
      </c>
      <c r="K12" s="40" t="s">
        <v>55</v>
      </c>
      <c r="L12" s="40" t="s">
        <v>56</v>
      </c>
      <c r="M12" s="40" t="s">
        <v>55</v>
      </c>
      <c r="N12" s="40" t="s">
        <v>56</v>
      </c>
      <c r="O12" s="40" t="s">
        <v>55</v>
      </c>
      <c r="P12" s="40" t="s">
        <v>56</v>
      </c>
      <c r="Q12" s="40" t="s">
        <v>55</v>
      </c>
      <c r="R12" s="40" t="s">
        <v>55</v>
      </c>
      <c r="S12" s="40" t="s">
        <v>55</v>
      </c>
      <c r="T12" s="40" t="s">
        <v>217</v>
      </c>
    </row>
    <row r="13" spans="1:20">
      <c r="A13" s="39" t="s">
        <v>218</v>
      </c>
      <c r="B13" s="40" t="s">
        <v>92</v>
      </c>
      <c r="C13" s="40" t="s">
        <v>55</v>
      </c>
      <c r="D13" s="40" t="s">
        <v>55</v>
      </c>
      <c r="E13" s="40" t="s">
        <v>55</v>
      </c>
      <c r="F13" s="40" t="s">
        <v>56</v>
      </c>
      <c r="G13" s="40" t="s">
        <v>57</v>
      </c>
      <c r="H13" s="40" t="s">
        <v>56</v>
      </c>
      <c r="I13" s="40" t="s">
        <v>56</v>
      </c>
      <c r="J13" s="40" t="s">
        <v>55</v>
      </c>
      <c r="K13" s="40" t="s">
        <v>55</v>
      </c>
      <c r="L13" s="40" t="s">
        <v>56</v>
      </c>
      <c r="M13" s="40" t="s">
        <v>55</v>
      </c>
      <c r="N13" s="40" t="s">
        <v>56</v>
      </c>
      <c r="O13" s="40" t="s">
        <v>55</v>
      </c>
      <c r="P13" s="40" t="s">
        <v>56</v>
      </c>
      <c r="Q13" s="40" t="s">
        <v>55</v>
      </c>
      <c r="R13" s="40" t="s">
        <v>55</v>
      </c>
      <c r="S13" s="40" t="s">
        <v>55</v>
      </c>
      <c r="T13" s="40" t="s">
        <v>219</v>
      </c>
    </row>
    <row r="14" spans="1:20" ht="27">
      <c r="A14" s="39" t="s">
        <v>220</v>
      </c>
      <c r="B14" s="40" t="s">
        <v>177</v>
      </c>
      <c r="C14" s="40" t="s">
        <v>55</v>
      </c>
      <c r="D14" s="40" t="s">
        <v>55</v>
      </c>
      <c r="E14" s="40" t="s">
        <v>55</v>
      </c>
      <c r="F14" s="40" t="s">
        <v>56</v>
      </c>
      <c r="G14" s="40" t="s">
        <v>56</v>
      </c>
      <c r="H14" s="40" t="s">
        <v>56</v>
      </c>
      <c r="I14" s="40" t="s">
        <v>56</v>
      </c>
      <c r="J14" s="40" t="s">
        <v>55</v>
      </c>
      <c r="K14" s="40" t="s">
        <v>55</v>
      </c>
      <c r="L14" s="40" t="s">
        <v>56</v>
      </c>
      <c r="M14" s="40" t="s">
        <v>55</v>
      </c>
      <c r="N14" s="40" t="s">
        <v>56</v>
      </c>
      <c r="O14" s="40" t="s">
        <v>55</v>
      </c>
      <c r="P14" s="40" t="s">
        <v>56</v>
      </c>
      <c r="Q14" s="40" t="s">
        <v>55</v>
      </c>
      <c r="R14" s="40" t="s">
        <v>55</v>
      </c>
      <c r="S14" s="40" t="s">
        <v>55</v>
      </c>
      <c r="T14" s="40" t="s">
        <v>221</v>
      </c>
    </row>
    <row r="15" spans="1:20" ht="27">
      <c r="A15" s="39" t="s">
        <v>222</v>
      </c>
      <c r="B15" s="40" t="s">
        <v>177</v>
      </c>
      <c r="C15" s="40" t="s">
        <v>55</v>
      </c>
      <c r="D15" s="40" t="s">
        <v>55</v>
      </c>
      <c r="E15" s="40" t="s">
        <v>55</v>
      </c>
      <c r="F15" s="40" t="s">
        <v>56</v>
      </c>
      <c r="G15" s="40" t="s">
        <v>56</v>
      </c>
      <c r="H15" s="40" t="s">
        <v>56</v>
      </c>
      <c r="I15" s="40" t="s">
        <v>56</v>
      </c>
      <c r="J15" s="40" t="s">
        <v>55</v>
      </c>
      <c r="K15" s="40" t="s">
        <v>55</v>
      </c>
      <c r="L15" s="40" t="s">
        <v>56</v>
      </c>
      <c r="M15" s="40" t="s">
        <v>55</v>
      </c>
      <c r="N15" s="40" t="s">
        <v>56</v>
      </c>
      <c r="O15" s="40" t="s">
        <v>55</v>
      </c>
      <c r="P15" s="40" t="s">
        <v>56</v>
      </c>
      <c r="Q15" s="40" t="s">
        <v>55</v>
      </c>
      <c r="R15" s="40" t="s">
        <v>55</v>
      </c>
      <c r="S15" s="40" t="s">
        <v>55</v>
      </c>
      <c r="T15" s="40" t="s">
        <v>223</v>
      </c>
    </row>
    <row r="16" spans="1:20">
      <c r="A16" s="39" t="s">
        <v>224</v>
      </c>
      <c r="B16" s="40" t="s">
        <v>177</v>
      </c>
      <c r="C16" s="40" t="s">
        <v>55</v>
      </c>
      <c r="D16" s="40" t="s">
        <v>55</v>
      </c>
      <c r="E16" s="40" t="s">
        <v>55</v>
      </c>
      <c r="F16" s="40" t="s">
        <v>56</v>
      </c>
      <c r="G16" s="40" t="s">
        <v>56</v>
      </c>
      <c r="H16" s="40" t="s">
        <v>56</v>
      </c>
      <c r="I16" s="40" t="s">
        <v>56</v>
      </c>
      <c r="J16" s="40" t="s">
        <v>55</v>
      </c>
      <c r="K16" s="40" t="s">
        <v>55</v>
      </c>
      <c r="L16" s="40" t="s">
        <v>56</v>
      </c>
      <c r="M16" s="40" t="s">
        <v>55</v>
      </c>
      <c r="N16" s="40" t="s">
        <v>56</v>
      </c>
      <c r="O16" s="40" t="s">
        <v>55</v>
      </c>
      <c r="P16" s="40" t="s">
        <v>56</v>
      </c>
      <c r="Q16" s="40" t="s">
        <v>55</v>
      </c>
      <c r="R16" s="40" t="s">
        <v>55</v>
      </c>
      <c r="S16" s="40" t="s">
        <v>55</v>
      </c>
      <c r="T16" s="40" t="s">
        <v>225</v>
      </c>
    </row>
    <row r="17" spans="1:20" ht="27">
      <c r="A17" s="39" t="s">
        <v>226</v>
      </c>
      <c r="B17" s="40" t="s">
        <v>177</v>
      </c>
      <c r="C17" s="40" t="s">
        <v>55</v>
      </c>
      <c r="D17" s="40" t="s">
        <v>55</v>
      </c>
      <c r="E17" s="40" t="s">
        <v>55</v>
      </c>
      <c r="F17" s="40" t="s">
        <v>56</v>
      </c>
      <c r="G17" s="40" t="s">
        <v>56</v>
      </c>
      <c r="H17" s="40" t="s">
        <v>56</v>
      </c>
      <c r="I17" s="40" t="s">
        <v>56</v>
      </c>
      <c r="J17" s="40" t="s">
        <v>55</v>
      </c>
      <c r="K17" s="40" t="s">
        <v>55</v>
      </c>
      <c r="L17" s="40" t="s">
        <v>56</v>
      </c>
      <c r="M17" s="40" t="s">
        <v>55</v>
      </c>
      <c r="N17" s="40" t="s">
        <v>56</v>
      </c>
      <c r="O17" s="40" t="s">
        <v>55</v>
      </c>
      <c r="P17" s="40" t="s">
        <v>56</v>
      </c>
      <c r="Q17" s="40" t="s">
        <v>55</v>
      </c>
      <c r="R17" s="40" t="s">
        <v>55</v>
      </c>
      <c r="S17" s="40" t="s">
        <v>55</v>
      </c>
      <c r="T17" s="40" t="s">
        <v>227</v>
      </c>
    </row>
    <row r="18" spans="1:20" ht="27">
      <c r="A18" s="39" t="s">
        <v>228</v>
      </c>
      <c r="B18" s="40" t="s">
        <v>177</v>
      </c>
      <c r="C18" s="40" t="s">
        <v>55</v>
      </c>
      <c r="D18" s="40" t="s">
        <v>55</v>
      </c>
      <c r="E18" s="40" t="s">
        <v>55</v>
      </c>
      <c r="F18" s="40" t="s">
        <v>56</v>
      </c>
      <c r="G18" s="40" t="s">
        <v>56</v>
      </c>
      <c r="H18" s="40" t="s">
        <v>56</v>
      </c>
      <c r="I18" s="40" t="s">
        <v>56</v>
      </c>
      <c r="J18" s="40" t="s">
        <v>55</v>
      </c>
      <c r="K18" s="40" t="s">
        <v>55</v>
      </c>
      <c r="L18" s="40" t="s">
        <v>56</v>
      </c>
      <c r="M18" s="40" t="s">
        <v>55</v>
      </c>
      <c r="N18" s="40" t="s">
        <v>56</v>
      </c>
      <c r="O18" s="40" t="s">
        <v>55</v>
      </c>
      <c r="P18" s="40" t="s">
        <v>56</v>
      </c>
      <c r="Q18" s="40" t="s">
        <v>55</v>
      </c>
      <c r="R18" s="40" t="s">
        <v>55</v>
      </c>
      <c r="S18" s="40" t="s">
        <v>55</v>
      </c>
      <c r="T18" s="40" t="s">
        <v>229</v>
      </c>
    </row>
    <row r="19" spans="1:20" ht="27">
      <c r="A19" s="39" t="s">
        <v>230</v>
      </c>
      <c r="B19" s="40" t="s">
        <v>92</v>
      </c>
      <c r="C19" s="40" t="s">
        <v>55</v>
      </c>
      <c r="D19" s="40" t="s">
        <v>55</v>
      </c>
      <c r="E19" s="40" t="s">
        <v>55</v>
      </c>
      <c r="F19" s="40" t="s">
        <v>56</v>
      </c>
      <c r="G19" s="40" t="s">
        <v>56</v>
      </c>
      <c r="H19" s="40" t="s">
        <v>56</v>
      </c>
      <c r="I19" s="40" t="s">
        <v>56</v>
      </c>
      <c r="J19" s="40" t="s">
        <v>55</v>
      </c>
      <c r="K19" s="40" t="s">
        <v>55</v>
      </c>
      <c r="L19" s="40" t="s">
        <v>56</v>
      </c>
      <c r="M19" s="40" t="s">
        <v>55</v>
      </c>
      <c r="N19" s="40" t="s">
        <v>56</v>
      </c>
      <c r="O19" s="40" t="s">
        <v>55</v>
      </c>
      <c r="P19" s="40" t="s">
        <v>56</v>
      </c>
      <c r="Q19" s="40" t="s">
        <v>55</v>
      </c>
      <c r="R19" s="40" t="s">
        <v>55</v>
      </c>
      <c r="S19" s="40" t="s">
        <v>55</v>
      </c>
      <c r="T19" s="40" t="s">
        <v>231</v>
      </c>
    </row>
    <row r="20" spans="1:20" ht="27">
      <c r="A20" s="39" t="s">
        <v>232</v>
      </c>
      <c r="B20" s="40" t="s">
        <v>233</v>
      </c>
      <c r="C20" s="40" t="s">
        <v>55</v>
      </c>
      <c r="D20" s="40" t="s">
        <v>55</v>
      </c>
      <c r="E20" s="40" t="s">
        <v>55</v>
      </c>
      <c r="F20" s="40" t="s">
        <v>56</v>
      </c>
      <c r="G20" s="40" t="s">
        <v>56</v>
      </c>
      <c r="H20" s="40" t="s">
        <v>56</v>
      </c>
      <c r="I20" s="40" t="s">
        <v>56</v>
      </c>
      <c r="J20" s="40" t="s">
        <v>55</v>
      </c>
      <c r="K20" s="40" t="s">
        <v>55</v>
      </c>
      <c r="L20" s="40" t="s">
        <v>56</v>
      </c>
      <c r="M20" s="40" t="s">
        <v>55</v>
      </c>
      <c r="N20" s="40" t="s">
        <v>56</v>
      </c>
      <c r="O20" s="40" t="s">
        <v>55</v>
      </c>
      <c r="P20" s="40" t="s">
        <v>56</v>
      </c>
      <c r="Q20" s="40" t="s">
        <v>55</v>
      </c>
      <c r="R20" s="40" t="s">
        <v>55</v>
      </c>
      <c r="S20" s="40" t="s">
        <v>55</v>
      </c>
      <c r="T20" s="40" t="s">
        <v>234</v>
      </c>
    </row>
  </sheetData>
  <mergeCells count="18">
    <mergeCell ref="A1:E1"/>
    <mergeCell ref="B2:E2"/>
    <mergeCell ref="B3:E3"/>
    <mergeCell ref="A4:T4"/>
    <mergeCell ref="A5:A6"/>
    <mergeCell ref="B5:B6"/>
    <mergeCell ref="C5:C6"/>
    <mergeCell ref="D5:D6"/>
    <mergeCell ref="E5:E6"/>
    <mergeCell ref="F5:F6"/>
    <mergeCell ref="S5:S6"/>
    <mergeCell ref="T5:T6"/>
    <mergeCell ref="G5:G6"/>
    <mergeCell ref="H5:H6"/>
    <mergeCell ref="I5:K5"/>
    <mergeCell ref="L5:M5"/>
    <mergeCell ref="N5:O5"/>
    <mergeCell ref="P5:R5"/>
  </mergeCells>
  <hyperlinks>
    <hyperlink ref="A1:E1" location="Clases!A1" display="&lt;-Volver al inicio" xr:uid="{F23C9697-14DC-4B3D-96DF-516720640DA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DE573-5C9E-4556-88DC-4E65E433DC3D}">
  <dimension ref="A1:T16"/>
  <sheetViews>
    <sheetView tabSelected="1" topLeftCell="O1" zoomScaleNormal="100" workbookViewId="0">
      <pane ySplit="1" topLeftCell="Q5" activePane="bottomLeft" state="frozen"/>
      <selection pane="bottomLeft" activeCell="Q8" sqref="Q8"/>
    </sheetView>
  </sheetViews>
  <sheetFormatPr defaultColWidth="19.7109375" defaultRowHeight="15"/>
  <cols>
    <col min="1" max="1" width="15.7109375" style="1" bestFit="1" customWidth="1"/>
    <col min="2" max="2" width="17.5703125" style="1" bestFit="1" customWidth="1"/>
    <col min="3" max="3" width="12.5703125" style="1" bestFit="1" customWidth="1"/>
    <col min="4" max="4" width="38" style="1" bestFit="1" customWidth="1"/>
    <col min="5" max="5" width="87.42578125" style="1" customWidth="1"/>
    <col min="6" max="6" width="26.5703125" style="1" bestFit="1" customWidth="1"/>
    <col min="7" max="7" width="22.28515625" style="1" bestFit="1" customWidth="1"/>
    <col min="8" max="8" width="46.5703125" style="1" bestFit="1" customWidth="1"/>
    <col min="9" max="9" width="23.7109375" style="1" bestFit="1" customWidth="1"/>
    <col min="10" max="10" width="11.28515625" style="1" bestFit="1" customWidth="1"/>
    <col min="11" max="11" width="15.42578125" style="1" bestFit="1" customWidth="1"/>
    <col min="12" max="12" width="50.85546875" style="1" customWidth="1"/>
    <col min="13" max="13" width="58.85546875" style="1" bestFit="1" customWidth="1"/>
    <col min="14" max="14" width="62.42578125" style="1" bestFit="1" customWidth="1"/>
    <col min="15" max="15" width="58.5703125" style="1" bestFit="1" customWidth="1"/>
    <col min="16" max="16" width="59.85546875" style="1" bestFit="1" customWidth="1"/>
    <col min="17" max="17" width="14.140625" style="1" customWidth="1"/>
    <col min="18" max="18" width="56.28515625" style="1" bestFit="1" customWidth="1"/>
    <col min="19" max="19" width="13" style="1" customWidth="1"/>
    <col min="20" max="20" width="31.42578125" style="1" customWidth="1"/>
    <col min="21" max="16384" width="19.7109375" style="1"/>
  </cols>
  <sheetData>
    <row r="1" spans="1:20">
      <c r="A1" s="20" t="s">
        <v>28</v>
      </c>
      <c r="B1" s="20"/>
      <c r="C1" s="20"/>
      <c r="D1" s="20"/>
      <c r="E1" s="20"/>
    </row>
    <row r="2" spans="1:20" ht="13.5" customHeight="1">
      <c r="A2" s="2" t="str">
        <f>Entidades!$A$1</f>
        <v>Entidad</v>
      </c>
      <c r="B2" s="26" t="str">
        <f>Entidades!A14</f>
        <v>mensajes</v>
      </c>
      <c r="C2" s="26"/>
      <c r="D2" s="26"/>
      <c r="E2" s="27"/>
    </row>
    <row r="3" spans="1:20" ht="28.5" customHeight="1">
      <c r="A3" s="3" t="str">
        <f>Entidades!$B$1</f>
        <v>Desripción</v>
      </c>
      <c r="B3" s="35" t="str">
        <f>Entidades!B14</f>
        <v>Entidad que contiene la información de un mensaje del sistema. Contiene código, tipo, categoría, módulo, título, contenido, estado de activación y fechas de creacion y actualizacion.</v>
      </c>
      <c r="C3" s="35"/>
      <c r="D3" s="35"/>
      <c r="E3" s="36"/>
    </row>
    <row r="4" spans="1:20">
      <c r="A4" s="21" t="s">
        <v>29</v>
      </c>
      <c r="B4" s="22"/>
      <c r="C4" s="22"/>
      <c r="D4" s="22"/>
      <c r="E4" s="22"/>
      <c r="F4" s="22"/>
      <c r="G4" s="22"/>
      <c r="H4" s="22"/>
      <c r="I4" s="22"/>
      <c r="J4" s="22"/>
      <c r="K4" s="22"/>
      <c r="L4" s="22"/>
      <c r="M4" s="22"/>
      <c r="N4" s="22"/>
      <c r="O4" s="22"/>
      <c r="P4" s="22"/>
      <c r="Q4" s="22"/>
      <c r="R4" s="22"/>
      <c r="S4" s="22"/>
      <c r="T4" s="23"/>
    </row>
    <row r="5" spans="1:20" s="5" customFormat="1">
      <c r="A5" s="17" t="s">
        <v>30</v>
      </c>
      <c r="B5" s="16" t="s">
        <v>31</v>
      </c>
      <c r="C5" s="16" t="s">
        <v>32</v>
      </c>
      <c r="D5" s="16" t="s">
        <v>33</v>
      </c>
      <c r="E5" s="16" t="s">
        <v>34</v>
      </c>
      <c r="F5" s="16" t="s">
        <v>35</v>
      </c>
      <c r="G5" s="16" t="s">
        <v>36</v>
      </c>
      <c r="H5" s="24" t="s">
        <v>37</v>
      </c>
      <c r="I5" s="16" t="s">
        <v>38</v>
      </c>
      <c r="J5" s="16"/>
      <c r="K5" s="16"/>
      <c r="L5" s="16" t="s">
        <v>39</v>
      </c>
      <c r="M5" s="16"/>
      <c r="N5" s="16" t="s">
        <v>40</v>
      </c>
      <c r="O5" s="16"/>
      <c r="P5" s="16" t="s">
        <v>41</v>
      </c>
      <c r="Q5" s="16"/>
      <c r="R5" s="16"/>
      <c r="S5" s="16" t="s">
        <v>42</v>
      </c>
      <c r="T5" s="30" t="s">
        <v>43</v>
      </c>
    </row>
    <row r="6" spans="1:20" s="5" customFormat="1">
      <c r="A6" s="18"/>
      <c r="B6" s="19"/>
      <c r="C6" s="19"/>
      <c r="D6" s="19"/>
      <c r="E6" s="19"/>
      <c r="F6" s="19"/>
      <c r="G6" s="19"/>
      <c r="H6" s="25"/>
      <c r="I6" s="4" t="s">
        <v>44</v>
      </c>
      <c r="J6" s="4" t="s">
        <v>0</v>
      </c>
      <c r="K6" s="4" t="s">
        <v>45</v>
      </c>
      <c r="L6" s="4" t="s">
        <v>46</v>
      </c>
      <c r="M6" s="4" t="s">
        <v>47</v>
      </c>
      <c r="N6" s="4" t="s">
        <v>48</v>
      </c>
      <c r="O6" s="4" t="s">
        <v>49</v>
      </c>
      <c r="P6" s="4" t="s">
        <v>50</v>
      </c>
      <c r="Q6" s="4" t="s">
        <v>51</v>
      </c>
      <c r="R6" s="4" t="s">
        <v>52</v>
      </c>
      <c r="S6" s="19"/>
      <c r="T6" s="31"/>
    </row>
    <row r="7" spans="1:20" ht="27">
      <c r="A7" s="37" t="s">
        <v>53</v>
      </c>
      <c r="B7" s="38" t="s">
        <v>54</v>
      </c>
      <c r="C7" s="38">
        <v>36</v>
      </c>
      <c r="D7" s="38" t="s">
        <v>55</v>
      </c>
      <c r="E7" s="38" t="s">
        <v>55</v>
      </c>
      <c r="F7" s="38" t="s">
        <v>56</v>
      </c>
      <c r="G7" s="38" t="s">
        <v>57</v>
      </c>
      <c r="H7" s="38" t="s">
        <v>57</v>
      </c>
      <c r="I7" s="38" t="s">
        <v>56</v>
      </c>
      <c r="J7" s="38" t="s">
        <v>55</v>
      </c>
      <c r="K7" s="38" t="s">
        <v>55</v>
      </c>
      <c r="L7" s="38" t="s">
        <v>56</v>
      </c>
      <c r="M7" s="38" t="s">
        <v>55</v>
      </c>
      <c r="N7" s="38" t="s">
        <v>56</v>
      </c>
      <c r="O7" s="38" t="s">
        <v>55</v>
      </c>
      <c r="P7" s="38" t="s">
        <v>57</v>
      </c>
      <c r="Q7" s="38" t="s">
        <v>58</v>
      </c>
      <c r="R7" s="38" t="s">
        <v>58</v>
      </c>
      <c r="S7" s="38" t="s">
        <v>55</v>
      </c>
      <c r="T7" s="38" t="s">
        <v>235</v>
      </c>
    </row>
    <row r="8" spans="1:20" ht="27">
      <c r="A8" s="39" t="s">
        <v>236</v>
      </c>
      <c r="B8" s="40" t="s">
        <v>54</v>
      </c>
      <c r="C8" s="40">
        <v>50</v>
      </c>
      <c r="D8" s="40" t="s">
        <v>55</v>
      </c>
      <c r="E8" s="40" t="s">
        <v>55</v>
      </c>
      <c r="F8" s="40" t="s">
        <v>56</v>
      </c>
      <c r="G8" s="40" t="s">
        <v>57</v>
      </c>
      <c r="H8" s="40" t="s">
        <v>56</v>
      </c>
      <c r="I8" s="40" t="s">
        <v>56</v>
      </c>
      <c r="J8" s="40" t="s">
        <v>55</v>
      </c>
      <c r="K8" s="40" t="s">
        <v>55</v>
      </c>
      <c r="L8" s="40" t="s">
        <v>57</v>
      </c>
      <c r="M8" s="40" t="s">
        <v>236</v>
      </c>
      <c r="N8" s="40" t="s">
        <v>56</v>
      </c>
      <c r="O8" s="40" t="s">
        <v>55</v>
      </c>
      <c r="P8" s="40" t="s">
        <v>57</v>
      </c>
      <c r="Q8" s="40" t="s">
        <v>237</v>
      </c>
      <c r="R8" s="40" t="s">
        <v>238</v>
      </c>
      <c r="S8" s="40" t="s">
        <v>55</v>
      </c>
      <c r="T8" s="40" t="s">
        <v>239</v>
      </c>
    </row>
    <row r="9" spans="1:20" ht="67.5">
      <c r="A9" s="39" t="s">
        <v>240</v>
      </c>
      <c r="B9" s="40" t="s">
        <v>188</v>
      </c>
      <c r="C9" s="40" t="s">
        <v>55</v>
      </c>
      <c r="D9" s="40" t="s">
        <v>55</v>
      </c>
      <c r="E9" s="40" t="s">
        <v>55</v>
      </c>
      <c r="F9" s="40" t="s">
        <v>56</v>
      </c>
      <c r="G9" s="40" t="s">
        <v>57</v>
      </c>
      <c r="H9" s="40" t="s">
        <v>56</v>
      </c>
      <c r="I9" s="40" t="s">
        <v>56</v>
      </c>
      <c r="J9" s="40" t="s">
        <v>55</v>
      </c>
      <c r="K9" s="40" t="s">
        <v>55</v>
      </c>
      <c r="L9" s="40" t="s">
        <v>56</v>
      </c>
      <c r="M9" s="40" t="s">
        <v>55</v>
      </c>
      <c r="N9" s="40" t="s">
        <v>56</v>
      </c>
      <c r="O9" s="40" t="s">
        <v>55</v>
      </c>
      <c r="P9" s="40" t="s">
        <v>57</v>
      </c>
      <c r="Q9" s="40" t="s">
        <v>241</v>
      </c>
      <c r="R9" s="40" t="s">
        <v>242</v>
      </c>
      <c r="S9" s="40" t="s">
        <v>243</v>
      </c>
      <c r="T9" s="40" t="s">
        <v>244</v>
      </c>
    </row>
    <row r="10" spans="1:20" ht="27">
      <c r="A10" s="39" t="s">
        <v>245</v>
      </c>
      <c r="B10" s="40" t="s">
        <v>54</v>
      </c>
      <c r="C10" s="40">
        <v>50</v>
      </c>
      <c r="D10" s="40" t="s">
        <v>55</v>
      </c>
      <c r="E10" s="40" t="s">
        <v>55</v>
      </c>
      <c r="F10" s="40" t="s">
        <v>56</v>
      </c>
      <c r="G10" s="40" t="s">
        <v>57</v>
      </c>
      <c r="H10" s="40" t="s">
        <v>56</v>
      </c>
      <c r="I10" s="40" t="s">
        <v>56</v>
      </c>
      <c r="J10" s="40" t="s">
        <v>55</v>
      </c>
      <c r="K10" s="40" t="s">
        <v>55</v>
      </c>
      <c r="L10" s="40" t="s">
        <v>56</v>
      </c>
      <c r="M10" s="40" t="s">
        <v>55</v>
      </c>
      <c r="N10" s="40" t="s">
        <v>56</v>
      </c>
      <c r="O10" s="40" t="s">
        <v>55</v>
      </c>
      <c r="P10" s="40" t="s">
        <v>56</v>
      </c>
      <c r="Q10" s="40" t="s">
        <v>55</v>
      </c>
      <c r="R10" s="40" t="s">
        <v>55</v>
      </c>
      <c r="S10" s="40" t="s">
        <v>55</v>
      </c>
      <c r="T10" s="40" t="s">
        <v>246</v>
      </c>
    </row>
    <row r="11" spans="1:20" ht="27">
      <c r="A11" s="39" t="s">
        <v>247</v>
      </c>
      <c r="B11" s="40" t="s">
        <v>54</v>
      </c>
      <c r="C11" s="40">
        <v>50</v>
      </c>
      <c r="D11" s="40" t="s">
        <v>55</v>
      </c>
      <c r="E11" s="40" t="s">
        <v>55</v>
      </c>
      <c r="F11" s="40" t="s">
        <v>56</v>
      </c>
      <c r="G11" s="40" t="s">
        <v>57</v>
      </c>
      <c r="H11" s="40" t="s">
        <v>56</v>
      </c>
      <c r="I11" s="40" t="s">
        <v>56</v>
      </c>
      <c r="J11" s="40" t="s">
        <v>55</v>
      </c>
      <c r="K11" s="40" t="s">
        <v>55</v>
      </c>
      <c r="L11" s="40" t="s">
        <v>56</v>
      </c>
      <c r="M11" s="40" t="s">
        <v>55</v>
      </c>
      <c r="N11" s="40" t="s">
        <v>56</v>
      </c>
      <c r="O11" s="40" t="s">
        <v>55</v>
      </c>
      <c r="P11" s="40" t="s">
        <v>57</v>
      </c>
      <c r="Q11" s="40" t="s">
        <v>241</v>
      </c>
      <c r="R11" s="40" t="s">
        <v>248</v>
      </c>
      <c r="S11" s="40" t="s">
        <v>55</v>
      </c>
      <c r="T11" s="40" t="s">
        <v>249</v>
      </c>
    </row>
    <row r="12" spans="1:20">
      <c r="A12" s="39" t="s">
        <v>250</v>
      </c>
      <c r="B12" s="40" t="s">
        <v>54</v>
      </c>
      <c r="C12" s="40">
        <v>255</v>
      </c>
      <c r="D12" s="40" t="s">
        <v>55</v>
      </c>
      <c r="E12" s="40" t="s">
        <v>55</v>
      </c>
      <c r="F12" s="40" t="s">
        <v>56</v>
      </c>
      <c r="G12" s="40" t="s">
        <v>57</v>
      </c>
      <c r="H12" s="40" t="s">
        <v>56</v>
      </c>
      <c r="I12" s="40" t="s">
        <v>56</v>
      </c>
      <c r="J12" s="40" t="s">
        <v>55</v>
      </c>
      <c r="K12" s="40" t="s">
        <v>55</v>
      </c>
      <c r="L12" s="40" t="s">
        <v>56</v>
      </c>
      <c r="M12" s="40" t="s">
        <v>55</v>
      </c>
      <c r="N12" s="40" t="s">
        <v>56</v>
      </c>
      <c r="O12" s="40" t="s">
        <v>55</v>
      </c>
      <c r="P12" s="40" t="s">
        <v>56</v>
      </c>
      <c r="Q12" s="40" t="s">
        <v>55</v>
      </c>
      <c r="R12" s="40" t="s">
        <v>55</v>
      </c>
      <c r="S12" s="40" t="s">
        <v>55</v>
      </c>
      <c r="T12" s="40" t="s">
        <v>251</v>
      </c>
    </row>
    <row r="13" spans="1:20" ht="25.5">
      <c r="A13" s="39" t="s">
        <v>252</v>
      </c>
      <c r="B13" s="40" t="s">
        <v>253</v>
      </c>
      <c r="C13" s="40" t="s">
        <v>55</v>
      </c>
      <c r="D13" s="40" t="s">
        <v>55</v>
      </c>
      <c r="E13" s="40" t="s">
        <v>55</v>
      </c>
      <c r="F13" s="40" t="s">
        <v>56</v>
      </c>
      <c r="G13" s="40" t="s">
        <v>57</v>
      </c>
      <c r="H13" s="40" t="s">
        <v>56</v>
      </c>
      <c r="I13" s="40" t="s">
        <v>56</v>
      </c>
      <c r="J13" s="40" t="s">
        <v>55</v>
      </c>
      <c r="K13" s="40" t="s">
        <v>55</v>
      </c>
      <c r="L13" s="40" t="s">
        <v>56</v>
      </c>
      <c r="M13" s="40" t="s">
        <v>55</v>
      </c>
      <c r="N13" s="40" t="s">
        <v>56</v>
      </c>
      <c r="O13" s="40" t="s">
        <v>55</v>
      </c>
      <c r="P13" s="40" t="s">
        <v>56</v>
      </c>
      <c r="Q13" s="40" t="s">
        <v>55</v>
      </c>
      <c r="R13" s="40" t="s">
        <v>55</v>
      </c>
      <c r="S13" s="40" t="s">
        <v>55</v>
      </c>
      <c r="T13" s="40" t="s">
        <v>254</v>
      </c>
    </row>
    <row r="14" spans="1:20" ht="27">
      <c r="A14" s="39" t="s">
        <v>255</v>
      </c>
      <c r="B14" s="40" t="s">
        <v>65</v>
      </c>
      <c r="C14" s="40" t="s">
        <v>55</v>
      </c>
      <c r="D14" s="40" t="s">
        <v>55</v>
      </c>
      <c r="E14" s="40" t="s">
        <v>55</v>
      </c>
      <c r="F14" s="40" t="s">
        <v>56</v>
      </c>
      <c r="G14" s="40" t="s">
        <v>56</v>
      </c>
      <c r="H14" s="40" t="s">
        <v>56</v>
      </c>
      <c r="I14" s="40" t="s">
        <v>56</v>
      </c>
      <c r="J14" s="40" t="s">
        <v>55</v>
      </c>
      <c r="K14" s="40" t="s">
        <v>55</v>
      </c>
      <c r="L14" s="40" t="s">
        <v>56</v>
      </c>
      <c r="M14" s="40" t="s">
        <v>55</v>
      </c>
      <c r="N14" s="40" t="s">
        <v>56</v>
      </c>
      <c r="O14" s="40" t="s">
        <v>55</v>
      </c>
      <c r="P14" s="40" t="s">
        <v>57</v>
      </c>
      <c r="Q14" s="40" t="s">
        <v>241</v>
      </c>
      <c r="R14" s="40" t="s">
        <v>256</v>
      </c>
      <c r="S14" s="40" t="s">
        <v>55</v>
      </c>
      <c r="T14" s="40" t="s">
        <v>257</v>
      </c>
    </row>
    <row r="15" spans="1:20">
      <c r="A15" s="39" t="s">
        <v>258</v>
      </c>
      <c r="B15" s="40" t="s">
        <v>233</v>
      </c>
      <c r="C15" s="40" t="s">
        <v>55</v>
      </c>
      <c r="D15" s="40" t="s">
        <v>55</v>
      </c>
      <c r="E15" s="40" t="s">
        <v>55</v>
      </c>
      <c r="F15" s="40" t="s">
        <v>56</v>
      </c>
      <c r="G15" s="40" t="s">
        <v>56</v>
      </c>
      <c r="H15" s="40" t="s">
        <v>56</v>
      </c>
      <c r="I15" s="40" t="s">
        <v>56</v>
      </c>
      <c r="J15" s="40" t="s">
        <v>55</v>
      </c>
      <c r="K15" s="40" t="s">
        <v>55</v>
      </c>
      <c r="L15" s="40" t="s">
        <v>56</v>
      </c>
      <c r="M15" s="40" t="s">
        <v>55</v>
      </c>
      <c r="N15" s="40" t="s">
        <v>56</v>
      </c>
      <c r="O15" s="40" t="s">
        <v>55</v>
      </c>
      <c r="P15" s="40" t="s">
        <v>56</v>
      </c>
      <c r="Q15" s="40" t="s">
        <v>55</v>
      </c>
      <c r="R15" s="40" t="s">
        <v>55</v>
      </c>
      <c r="S15" s="40" t="s">
        <v>55</v>
      </c>
      <c r="T15" s="40" t="s">
        <v>259</v>
      </c>
    </row>
    <row r="16" spans="1:20" ht="27">
      <c r="A16" s="39" t="s">
        <v>260</v>
      </c>
      <c r="B16" s="40" t="s">
        <v>233</v>
      </c>
      <c r="C16" s="40" t="s">
        <v>55</v>
      </c>
      <c r="D16" s="40" t="s">
        <v>55</v>
      </c>
      <c r="E16" s="40" t="s">
        <v>55</v>
      </c>
      <c r="F16" s="40" t="s">
        <v>56</v>
      </c>
      <c r="G16" s="40" t="s">
        <v>56</v>
      </c>
      <c r="H16" s="40" t="s">
        <v>56</v>
      </c>
      <c r="I16" s="40" t="s">
        <v>56</v>
      </c>
      <c r="J16" s="40" t="s">
        <v>55</v>
      </c>
      <c r="K16" s="40" t="s">
        <v>55</v>
      </c>
      <c r="L16" s="40" t="s">
        <v>56</v>
      </c>
      <c r="M16" s="40" t="s">
        <v>55</v>
      </c>
      <c r="N16" s="40" t="s">
        <v>56</v>
      </c>
      <c r="O16" s="40" t="s">
        <v>55</v>
      </c>
      <c r="P16" s="40" t="s">
        <v>56</v>
      </c>
      <c r="Q16" s="40" t="s">
        <v>55</v>
      </c>
      <c r="R16" s="40" t="s">
        <v>55</v>
      </c>
      <c r="S16" s="40" t="s">
        <v>55</v>
      </c>
      <c r="T16" s="40" t="s">
        <v>234</v>
      </c>
    </row>
  </sheetData>
  <mergeCells count="18">
    <mergeCell ref="A1:E1"/>
    <mergeCell ref="B2:E2"/>
    <mergeCell ref="B3:E3"/>
    <mergeCell ref="A4:T4"/>
    <mergeCell ref="A5:A6"/>
    <mergeCell ref="B5:B6"/>
    <mergeCell ref="C5:C6"/>
    <mergeCell ref="D5:D6"/>
    <mergeCell ref="E5:E6"/>
    <mergeCell ref="F5:F6"/>
    <mergeCell ref="S5:S6"/>
    <mergeCell ref="T5:T6"/>
    <mergeCell ref="G5:G6"/>
    <mergeCell ref="H5:H6"/>
    <mergeCell ref="I5:K5"/>
    <mergeCell ref="L5:M5"/>
    <mergeCell ref="N5:O5"/>
    <mergeCell ref="P5:R5"/>
  </mergeCells>
  <hyperlinks>
    <hyperlink ref="A1:E1" location="Clases!A1" display="&lt;-Volver al inicio" xr:uid="{4992FF41-D8F0-4CA1-BBC7-579AC7A0230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76DB0C4120924AA26C4287891F496A" ma:contentTypeVersion="14" ma:contentTypeDescription="Create a new document." ma:contentTypeScope="" ma:versionID="3fceec3def0f506dfcad0667cfbc0a27">
  <xsd:schema xmlns:xsd="http://www.w3.org/2001/XMLSchema" xmlns:xs="http://www.w3.org/2001/XMLSchema" xmlns:p="http://schemas.microsoft.com/office/2006/metadata/properties" xmlns:ns2="8c760e46-fa8d-4097-b83a-5445f0e9d30c" xmlns:ns3="ec35dbff-cfd0-4719-95bc-88150a03162d" targetNamespace="http://schemas.microsoft.com/office/2006/metadata/properties" ma:root="true" ma:fieldsID="e62c085bb44a921f4ca31eb25283aa2d" ns2:_="" ns3:_="">
    <xsd:import namespace="8c760e46-fa8d-4097-b83a-5445f0e9d30c"/>
    <xsd:import namespace="ec35dbff-cfd0-4719-95bc-88150a0316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760e46-fa8d-4097-b83a-5445f0e9d3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35dbff-cfd0-4719-95bc-88150a03162d"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e12dc73c-76b1-43fe-b09a-ca7102cdfc94}" ma:internalName="TaxCatchAll" ma:showField="CatchAllData" ma:web="ec35dbff-cfd0-4719-95bc-88150a0316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c760e46-fa8d-4097-b83a-5445f0e9d30c">
      <Terms xmlns="http://schemas.microsoft.com/office/infopath/2007/PartnerControls"/>
    </lcf76f155ced4ddcb4097134ff3c332f>
    <TaxCatchAll xmlns="ec35dbff-cfd0-4719-95bc-88150a03162d" xsi:nil="true"/>
  </documentManagement>
</p:properties>
</file>

<file path=customXml/itemProps1.xml><?xml version="1.0" encoding="utf-8"?>
<ds:datastoreItem xmlns:ds="http://schemas.openxmlformats.org/officeDocument/2006/customXml" ds:itemID="{6CE844D6-B636-448D-B0A4-A24453C4551B}"/>
</file>

<file path=customXml/itemProps2.xml><?xml version="1.0" encoding="utf-8"?>
<ds:datastoreItem xmlns:ds="http://schemas.openxmlformats.org/officeDocument/2006/customXml" ds:itemID="{6F878460-2F3A-41BD-95C2-4CD9C0DA2538}"/>
</file>

<file path=customXml/itemProps3.xml><?xml version="1.0" encoding="utf-8"?>
<ds:datastoreItem xmlns:ds="http://schemas.openxmlformats.org/officeDocument/2006/customXml" ds:itemID="{9AE2A7AE-CB58-44F4-8195-7E287552EB43}"/>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Luciana Sánchez Arias</dc:creator>
  <cp:keywords/>
  <dc:description/>
  <cp:lastModifiedBy>Emmanuel Londono Gomez</cp:lastModifiedBy>
  <cp:revision/>
  <dcterms:created xsi:type="dcterms:W3CDTF">2023-03-29T19:04:22Z</dcterms:created>
  <dcterms:modified xsi:type="dcterms:W3CDTF">2026-02-26T04:31:47Z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86cab09b-e61a-4c01-96e7-67fc9e3d8cd5_Enabled">
    <vt:lpwstr>true</vt:lpwstr>
  </property>
  <property fmtid="{D5CDD505-2E9C-101B-9397-08002B2CF9AE}" pid="5" name="MSIP_Label_86cab09b-e61a-4c01-96e7-67fc9e3d8cd5_SetDate">
    <vt:lpwstr>2023-03-29T20:40:24Z</vt:lpwstr>
  </property>
  <property fmtid="{D5CDD505-2E9C-101B-9397-08002B2CF9AE}" pid="6" name="MSIP_Label_86cab09b-e61a-4c01-96e7-67fc9e3d8cd5_Method">
    <vt:lpwstr>Standard</vt:lpwstr>
  </property>
  <property fmtid="{D5CDD505-2E9C-101B-9397-08002B2CF9AE}" pid="7" name="MSIP_Label_86cab09b-e61a-4c01-96e7-67fc9e3d8cd5_Name">
    <vt:lpwstr>Todos los Empleados</vt:lpwstr>
  </property>
  <property fmtid="{D5CDD505-2E9C-101B-9397-08002B2CF9AE}" pid="8" name="MSIP_Label_86cab09b-e61a-4c01-96e7-67fc9e3d8cd5_SiteId">
    <vt:lpwstr>bf1ce8b5-5d39-4bc5-ad6e-07b3e4d7d67a</vt:lpwstr>
  </property>
  <property fmtid="{D5CDD505-2E9C-101B-9397-08002B2CF9AE}" pid="9" name="MSIP_Label_86cab09b-e61a-4c01-96e7-67fc9e3d8cd5_ActionId">
    <vt:lpwstr>0c313e8a-0cbc-47b0-90bf-fa4503b785f4</vt:lpwstr>
  </property>
  <property fmtid="{D5CDD505-2E9C-101B-9397-08002B2CF9AE}" pid="10" name="MSIP_Label_86cab09b-e61a-4c01-96e7-67fc9e3d8cd5_ContentBits">
    <vt:lpwstr>8</vt:lpwstr>
  </property>
  <property fmtid="{D5CDD505-2E9C-101B-9397-08002B2CF9AE}" pid="11" name="ContentTypeId">
    <vt:lpwstr>0x010100CA76DB0C4120924AA26C4287891F496A</vt:lpwstr>
  </property>
  <property fmtid="{D5CDD505-2E9C-101B-9397-08002B2CF9AE}" pid="12" name="MediaServiceImageTags">
    <vt:lpwstr/>
  </property>
</Properties>
</file>