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clases/"/>
    </mc:Choice>
  </mc:AlternateContent>
  <xr:revisionPtr revIDLastSave="639" documentId="13_ncr:1_{7F3F1D9D-62F8-2F40-8678-0B9A7640FE84}" xr6:coauthVersionLast="47" xr6:coauthVersionMax="47" xr10:uidLastSave="{8F9628CB-DDCE-4330-813C-6A23CE88A27A}"/>
  <bookViews>
    <workbookView xWindow="14780" yWindow="660" windowWidth="19780" windowHeight="21680" xr2:uid="{00000000-000D-0000-FFFF-FFFF00000000}"/>
  </bookViews>
  <sheets>
    <sheet name="Diagrama de clases" sheetId="1" r:id="rId1"/>
    <sheet name="Clases" sheetId="2" r:id="rId2"/>
    <sheet name="Employee" sheetId="3" r:id="rId3"/>
    <sheet name="Airline" sheetId="4" r:id="rId4"/>
    <sheet name="AirlineEmployee" sheetId="5" r:id="rId5"/>
    <sheet name="Airport" sheetId="6" r:id="rId6"/>
    <sheet name="Manufacturer" sheetId="7" r:id="rId7"/>
    <sheet name="Engine" sheetId="8" r:id="rId8"/>
    <sheet name="AircraftFamily" sheetId="9" r:id="rId9"/>
    <sheet name="AircraftModel" sheetId="10" r:id="rId10"/>
    <sheet name="TailNumber" sheetId="11" r:id="rId11"/>
    <sheet name="Route" sheetId="12" r:id="rId12"/>
    <sheet name="AirlineRoute" sheetId="13" r:id="rId13"/>
    <sheet name="DailyLogbook" sheetId="14" r:id="rId14"/>
    <sheet name="DailyLogbookDetail" sheetId="15" r:id="rId15"/>
    <sheet name="EmployeeFlightSummary" sheetId="16" r:id="rId16"/>
    <sheet name="FlightHoursSummary" sheetId="17" r:id="rId17"/>
    <sheet name="Message" sheetId="21" r:id="rId18"/>
    <sheet name="PilotRoleBreakdown" sheetId="18" r:id="rId19"/>
    <sheet name="FlightAlert" sheetId="19" r:id="rId20"/>
    <sheet name="PeriodInfo" sheetId="20" r:id="rId21"/>
    <sheet name="PilotRole" sheetId="23" r:id="rId22"/>
    <sheet name="CrewRole" sheetId="24" r:id="rId23"/>
    <sheet name="ApproachType" sheetId="25" r:id="rId24"/>
    <sheet name="EmployeeRole" sheetId="22" r:id="rId25"/>
    <sheet name="MessageType" sheetId="26" r:id="rId26"/>
    <sheet name="SummaryPeriodType" sheetId="27" r:id="rId27"/>
    <sheet name="Valores" sheetId="28" state="hidden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7" l="1"/>
  <c r="E9" i="27"/>
  <c r="E9" i="26"/>
  <c r="E9" i="25"/>
  <c r="E9" i="24"/>
  <c r="E9" i="23"/>
  <c r="E9" i="22"/>
  <c r="E9" i="20"/>
  <c r="E9" i="19"/>
  <c r="E9" i="18"/>
  <c r="E9" i="21"/>
  <c r="E10" i="17"/>
  <c r="E9" i="17"/>
  <c r="E10" i="16"/>
  <c r="E9" i="16"/>
  <c r="E10" i="15"/>
  <c r="E11" i="15"/>
  <c r="E12" i="15"/>
  <c r="E13" i="15"/>
  <c r="E14" i="15"/>
  <c r="E9" i="15"/>
  <c r="E10" i="14"/>
  <c r="E9" i="14"/>
  <c r="E10" i="13"/>
  <c r="E11" i="13"/>
  <c r="E9" i="13"/>
  <c r="E10" i="12"/>
  <c r="E9" i="12"/>
  <c r="E10" i="11"/>
  <c r="E11" i="11"/>
  <c r="E9" i="11"/>
  <c r="E10" i="10"/>
  <c r="E11" i="10"/>
  <c r="E12" i="10"/>
  <c r="E9" i="10"/>
  <c r="E10" i="9"/>
  <c r="E9" i="9"/>
  <c r="E9" i="8"/>
  <c r="E10" i="7"/>
  <c r="E9" i="7"/>
  <c r="E9" i="6"/>
  <c r="E10" i="5"/>
  <c r="E9" i="5"/>
  <c r="E10" i="4"/>
  <c r="E11" i="4"/>
  <c r="E9" i="4"/>
  <c r="E10" i="3"/>
  <c r="E11" i="3"/>
  <c r="E12" i="3"/>
  <c r="E9" i="3"/>
  <c r="B4" i="27"/>
  <c r="B2" i="27"/>
  <c r="B4" i="26"/>
  <c r="B2" i="26"/>
  <c r="B4" i="25"/>
  <c r="B2" i="25"/>
  <c r="B4" i="24"/>
  <c r="B2" i="24"/>
  <c r="B4" i="23"/>
  <c r="B2" i="23"/>
  <c r="B4" i="22"/>
  <c r="B2" i="22"/>
  <c r="B4" i="21"/>
  <c r="B2" i="21"/>
  <c r="B4" i="20"/>
  <c r="B2" i="20"/>
  <c r="B4" i="19"/>
  <c r="B2" i="19"/>
  <c r="B4" i="18"/>
  <c r="B2" i="18"/>
  <c r="B4" i="17"/>
  <c r="B2" i="17"/>
  <c r="B4" i="16"/>
  <c r="B2" i="16"/>
  <c r="B4" i="15"/>
  <c r="B2" i="15"/>
  <c r="B4" i="14"/>
  <c r="B2" i="14"/>
  <c r="B4" i="13"/>
  <c r="B2" i="13"/>
  <c r="B4" i="12"/>
  <c r="B2" i="12"/>
  <c r="B4" i="11"/>
  <c r="B2" i="11"/>
  <c r="B4" i="10"/>
  <c r="B2" i="10"/>
  <c r="B4" i="9"/>
  <c r="B2" i="9"/>
  <c r="B4" i="8"/>
  <c r="B2" i="8"/>
  <c r="B4" i="7"/>
  <c r="B2" i="7"/>
  <c r="B4" i="6"/>
  <c r="B2" i="6"/>
  <c r="B4" i="5"/>
  <c r="B2" i="5"/>
  <c r="B4" i="4"/>
  <c r="B2" i="4"/>
  <c r="B4" i="3"/>
  <c r="B2" i="3"/>
  <c r="A4" i="27" l="1"/>
  <c r="A3" i="27"/>
  <c r="A2" i="27"/>
  <c r="A4" i="26"/>
  <c r="A3" i="26"/>
  <c r="A2" i="26"/>
  <c r="A4" i="25"/>
  <c r="A3" i="25"/>
  <c r="A2" i="25"/>
  <c r="A4" i="24"/>
  <c r="A3" i="24"/>
  <c r="A2" i="24"/>
  <c r="A4" i="23"/>
  <c r="A3" i="23"/>
  <c r="A2" i="23"/>
  <c r="A4" i="22"/>
  <c r="A3" i="22"/>
  <c r="A2" i="22"/>
  <c r="A4" i="21"/>
  <c r="A3" i="21"/>
  <c r="A2" i="21"/>
  <c r="A4" i="20"/>
  <c r="A3" i="20"/>
  <c r="A2" i="20"/>
  <c r="A4" i="19"/>
  <c r="A3" i="19"/>
  <c r="A2" i="19"/>
  <c r="A4" i="18"/>
  <c r="A3" i="18"/>
  <c r="A2" i="18"/>
  <c r="A4" i="17"/>
  <c r="A3" i="17"/>
  <c r="A2" i="17"/>
  <c r="A4" i="16"/>
  <c r="A3" i="16"/>
  <c r="A2" i="16"/>
  <c r="A4" i="15"/>
  <c r="A3" i="15"/>
  <c r="A2" i="15"/>
  <c r="A4" i="14"/>
  <c r="A3" i="14"/>
  <c r="A2" i="14"/>
  <c r="A4" i="13"/>
  <c r="A3" i="13"/>
  <c r="A2" i="13"/>
  <c r="A4" i="12"/>
  <c r="A3" i="12"/>
  <c r="A2" i="12"/>
  <c r="A4" i="11"/>
  <c r="A3" i="11"/>
  <c r="A2" i="11"/>
  <c r="A4" i="10"/>
  <c r="A3" i="10"/>
  <c r="A2" i="10"/>
  <c r="A4" i="9"/>
  <c r="A3" i="9"/>
  <c r="A2" i="9"/>
  <c r="A4" i="8"/>
  <c r="A3" i="8"/>
  <c r="A2" i="8"/>
  <c r="A4" i="7"/>
  <c r="A3" i="7"/>
  <c r="A2" i="7"/>
  <c r="A4" i="6"/>
  <c r="A3" i="6"/>
  <c r="A2" i="6"/>
  <c r="A4" i="5"/>
  <c r="A3" i="5"/>
  <c r="A2" i="5"/>
  <c r="A4" i="4"/>
  <c r="A3" i="4"/>
  <c r="A2" i="4"/>
  <c r="A4" i="3"/>
  <c r="A3" i="3"/>
  <c r="A2" i="3"/>
</calcChain>
</file>

<file path=xl/sharedStrings.xml><?xml version="1.0" encoding="utf-8"?>
<sst xmlns="http://schemas.openxmlformats.org/spreadsheetml/2006/main" count="3304" uniqueCount="471">
  <si>
    <t>En esta hoja se ubica la imagen del modelo, asegurando que sea clara y legible</t>
  </si>
  <si>
    <t>Clase</t>
  </si>
  <si>
    <t>Estereotipo</t>
  </si>
  <si>
    <t>Desripción</t>
  </si>
  <si>
    <t>Modificador de acceso</t>
  </si>
  <si>
    <t>Tipo de Clase</t>
  </si>
  <si>
    <t>Employee</t>
  </si>
  <si>
    <t>struct</t>
  </si>
  <si>
    <t>Estructura que representa a un empleado del sistema, ya sea piloto o administrador, con sus datos personales, credenciales de acceso y rol asignado.</t>
  </si>
  <si>
    <t xml:space="preserve">exported </t>
  </si>
  <si>
    <t>N/A</t>
  </si>
  <si>
    <t>Airline</t>
  </si>
  <si>
    <t>Estructura que representa una aerolínea comercial registrada en el sistema, identificada por su nombre, código y estado de actividad.</t>
  </si>
  <si>
    <t>AirlineEmployee</t>
  </si>
  <si>
    <t>Estructura que representa la vinculación laboral de un empleado con una aerolínea, incluyendo las fechas de inicio y fin de la relación y su estado actual.</t>
  </si>
  <si>
    <t>Airport</t>
  </si>
  <si>
    <t>Estructura que representa un aeropuerto con su nombre, código de identificación, tipo de operación y si se encuentra activo o inactivo.</t>
  </si>
  <si>
    <t>Manufacturer</t>
  </si>
  <si>
    <t xml:space="preserve">Estructura que representa un fabricante de aeronaves, como Boeing, Airbus </t>
  </si>
  <si>
    <t>Engine</t>
  </si>
  <si>
    <t>Estructura que representa un tipo de motor utilizado en aeronaves como CFM,IAE.</t>
  </si>
  <si>
    <t>AircraftFamily</t>
  </si>
  <si>
    <t>Estructura que representa una familia de aeronaves agrupada por fabricante, como las familias Airbus  A320.</t>
  </si>
  <si>
    <t>AircraftModel</t>
  </si>
  <si>
    <t>Estructura que representa un modelo específico de aeronave, con su nombre, tipo, motor asociado, familia, fabricante y estado de disponibilidad.</t>
  </si>
  <si>
    <t>TailNumber</t>
  </si>
  <si>
    <t>Estructura que representa la matrícula de una aeronave, vinculando un número de registro con un modelo de avión y la aerolínea.</t>
  </si>
  <si>
    <t>Route</t>
  </si>
  <si>
    <t>Estructura que representa una ruta aérea entre dos aeropuertos, con el tiempo estimado de vuelo y los códigos de los aeropuertos de origen y destino.</t>
  </si>
  <si>
    <t>AirlineRoute</t>
  </si>
  <si>
    <t>Estructura que representa una ruta aérea operada por una aerolínea específica, incluyendo los datos de la ruta, la aerolínea asignada y el estado de operación.</t>
  </si>
  <si>
    <t>DailyLogbook</t>
  </si>
  <si>
    <t>Estructura que representa una página diaria de la bitácora de vuelo de un piloto, con la fecha del registro, la página del libro y su estado.</t>
  </si>
  <si>
    <t>DailyLogbookDetail</t>
  </si>
  <si>
    <t>Estructura que representa un segmento de vuelo individual dentro de una bitácora diaria. Es la entidad central del sistema, contiene el número de vuelo, la ruta , la aeronave utilizada, los tiempos de operación y el rol del piloto.</t>
  </si>
  <si>
    <t>EmployeeFlightSummary</t>
  </si>
  <si>
    <t>Estructura que representa el resumen acumulado de horas de vuelo de un empleado en un período determinado, incluyendo tiempo de vuelo, tiempo de bloque, cantidad de vuelos y aterrizajes realizados.</t>
  </si>
  <si>
    <t>FlightHoursSummary</t>
  </si>
  <si>
    <t>Estructura que representa un resumen general de horas de vuelo con totales de minutos, vuelos y aterrizajes para un rango de fechas específico.</t>
  </si>
  <si>
    <t>PilotRoleBreakdown</t>
  </si>
  <si>
    <t>Estructura que representa el desglose de tiempo de vuelo según el rol del piloto, indicando cuántos segundos y vuelos se realizaron en cada posición.</t>
  </si>
  <si>
    <t>FlightAlert</t>
  </si>
  <si>
    <t>Estructura que representa una alerta del sistema cuando las horas de vuelo se acercan o superan los límites establecidos.</t>
  </si>
  <si>
    <t>PeriodInfo</t>
  </si>
  <si>
    <t>Estructura que representa la información de un período de resumen, con el tipo de período, año, número y rango de fechas.</t>
  </si>
  <si>
    <t>Message</t>
  </si>
  <si>
    <t>Estructura que representa un mensaje del sistema utilizado para comunicar errores, información, advertencias o confirmaciones al usuario.</t>
  </si>
  <si>
    <t>EmployeeRole</t>
  </si>
  <si>
    <t>enum</t>
  </si>
  <si>
    <t>Enumeración que representa los roles disponibles para un empleado: administrador del sistema o piloto.</t>
  </si>
  <si>
    <t>PilotRole</t>
  </si>
  <si>
    <t>Enumeración que representa el rol que desempeña un piloto durante un segmento de vuelo: piloto al mando(PF), piloto de monitoreo(PM), piloto de despegue(PFTO) o piloto de aterrizaje(PFL).</t>
  </si>
  <si>
    <t>CrewRole</t>
  </si>
  <si>
    <t>Enumeración que representa la posición del tripulante en la cabina: capitán o primer oficial.</t>
  </si>
  <si>
    <t>ApproachType</t>
  </si>
  <si>
    <t>Enumeración que representa el tipo de aproximación realizada durante el aterrizaje: aproximación con guía vertical o aproximación visual.</t>
  </si>
  <si>
    <t>MessageType</t>
  </si>
  <si>
    <t>Enumeración que representa el tipo de mensaje del sistema: error, éxito, advertencia, información o depuración.</t>
  </si>
  <si>
    <t>SummaryPeriodType</t>
  </si>
  <si>
    <t>Enumeración que representa los tipos de período para los resúmenes de vuelo: mensual, trimestral, anual, primera quincena o segunda quincena.</t>
  </si>
  <si>
    <t>&lt;-Volver al inicio</t>
  </si>
  <si>
    <t>Modificador acceso:</t>
  </si>
  <si>
    <t>exported</t>
  </si>
  <si>
    <t>Tipo clase:</t>
  </si>
  <si>
    <t>Relaciones</t>
  </si>
  <si>
    <t>Relación</t>
  </si>
  <si>
    <t>Tipo relación</t>
  </si>
  <si>
    <t>Estructura</t>
  </si>
  <si>
    <t>Es usada por</t>
  </si>
  <si>
    <t xml:space="preserve">Asociación </t>
  </si>
  <si>
    <t>Necesita de</t>
  </si>
  <si>
    <t>Dependencia</t>
  </si>
  <si>
    <t>Atributos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</si>
  <si>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</si>
  <si>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</si>
  <si>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</si>
  <si>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</si>
  <si>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</si>
  <si>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</si>
  <si>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</si>
  <si>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ID</t>
  </si>
  <si>
    <t>String</t>
  </si>
  <si>
    <t xml:space="preserve">no final </t>
  </si>
  <si>
    <t>no static</t>
  </si>
  <si>
    <t>Identificador único del empleado</t>
  </si>
  <si>
    <t>Name</t>
  </si>
  <si>
    <t>Nombre completo del empleado</t>
  </si>
  <si>
    <t>Email</t>
  </si>
  <si>
    <t xml:space="preserve">Correo electrónico de acceso </t>
  </si>
  <si>
    <t>Password</t>
  </si>
  <si>
    <t>Contraseña del empleado</t>
  </si>
  <si>
    <t>IdentificationNumber</t>
  </si>
  <si>
    <t xml:space="preserve">Número de identificación personal </t>
  </si>
  <si>
    <t>Role</t>
  </si>
  <si>
    <t>Rol asignado(admin o pilot)</t>
  </si>
  <si>
    <t>KeycloakUserID</t>
  </si>
  <si>
    <t>Identificador del usuario en el sistema de autenticacion.</t>
  </si>
  <si>
    <t>Constructores</t>
  </si>
  <si>
    <t>Tipo constructor</t>
  </si>
  <si>
    <t>Descripción</t>
  </si>
  <si>
    <t>Parámetros</t>
  </si>
  <si>
    <t>Excepciones</t>
  </si>
  <si>
    <t>Tipo parámetro</t>
  </si>
  <si>
    <t>Las estructuras en Go no usan constructores explícitos</t>
  </si>
  <si>
    <t>Métodos accesores</t>
  </si>
  <si>
    <t>Modificador de aceso</t>
  </si>
  <si>
    <t>Tipo método accesor</t>
  </si>
  <si>
    <t>Tipo modificación método</t>
  </si>
  <si>
    <t>Tipo dato de retorno</t>
  </si>
  <si>
    <t>En Go los campos son accesibles directamente, no se usan getters/setters</t>
  </si>
  <si>
    <t>Métodos</t>
  </si>
  <si>
    <t>Tipo acceso método</t>
  </si>
  <si>
    <t>SetID</t>
  </si>
  <si>
    <t>no final</t>
  </si>
  <si>
    <t>Genera un identificador único para el empleado usando UUID</t>
  </si>
  <si>
    <t>void</t>
  </si>
  <si>
    <t>ToLogger</t>
  </si>
  <si>
    <t>Retorna información del empleado (id, email, rol) para registro en bitácora del sistema</t>
  </si>
  <si>
    <t>Otro</t>
  </si>
  <si>
    <t>[]string</t>
  </si>
  <si>
    <t xml:space="preserve">Es usada por </t>
  </si>
  <si>
    <t>Identificador  único de la aerolínea</t>
  </si>
  <si>
    <t>AirlineName</t>
  </si>
  <si>
    <t xml:space="preserve">Nombre de la aerolínea </t>
  </si>
  <si>
    <t>AirlineCode</t>
  </si>
  <si>
    <t xml:space="preserve">Código IATA de la aerolínea </t>
  </si>
  <si>
    <t>Status</t>
  </si>
  <si>
    <t>Estado de la aerolínea(activa/inactiva)</t>
  </si>
  <si>
    <t>Retorna información de la aerolínea (id, nombre, código, estado) para registro en bitácora del sistema</t>
  </si>
  <si>
    <t xml:space="preserve">no static </t>
  </si>
  <si>
    <t xml:space="preserve">Identificador único de la vinculación </t>
  </si>
  <si>
    <t>AirlineID</t>
  </si>
  <si>
    <t>Identificador de la aerolínea asociada</t>
  </si>
  <si>
    <t>Bp</t>
  </si>
  <si>
    <t xml:space="preserve">Numero de boarding pass del empleado en la aerolínea </t>
  </si>
  <si>
    <t>StartDate</t>
  </si>
  <si>
    <t>Date</t>
  </si>
  <si>
    <t>Fecha de inicio de la vinculación a la aerolínea</t>
  </si>
  <si>
    <t>EndDate</t>
  </si>
  <si>
    <t>Fecha de fin de la vinculacion a la aerolinea</t>
  </si>
  <si>
    <t>Active</t>
  </si>
  <si>
    <t>boolean/Boolean</t>
  </si>
  <si>
    <t>Indica si la vinculacion esta activa</t>
  </si>
  <si>
    <t>Genera un identificador único para la vinculación usando UUID</t>
  </si>
  <si>
    <t>Retorna información de la vinculación (id, aerolínea, bp, fechas, estado) para registro en bitácora del sistema</t>
  </si>
  <si>
    <t>Asociación</t>
  </si>
  <si>
    <t>Identificador único del aeropuerto</t>
  </si>
  <si>
    <t>Nombre del aeropuerto</t>
  </si>
  <si>
    <t>IATACode</t>
  </si>
  <si>
    <t>Código IATA del aeropuerto(ej. BOG,CLO)</t>
  </si>
  <si>
    <t>Indica si el aeropuerto esta activo</t>
  </si>
  <si>
    <t>AirportType</t>
  </si>
  <si>
    <t>Tipo de aeropuerto(nacional/internacional)</t>
  </si>
  <si>
    <t>Retorna información del aeropuerto (id, nombre, código IATA, tipo, estado) para registro en bitácora del sistema</t>
  </si>
  <si>
    <t>[] string</t>
  </si>
  <si>
    <t>IsActive</t>
  </si>
  <si>
    <t>Verifica si el aeropuerto se encuentra activo</t>
  </si>
  <si>
    <t>Identificador único del fabricante</t>
  </si>
  <si>
    <t>Nombre del fabricante</t>
  </si>
  <si>
    <t>|</t>
  </si>
  <si>
    <t>Retorna información del fabricante (id, nombre) para registro en bitácora del sistema</t>
  </si>
  <si>
    <t>Identificador único del motor</t>
  </si>
  <si>
    <t>Nombre del motor</t>
  </si>
  <si>
    <t>Retorna información del motor (id, nombre) para registro en bitácora del sistema</t>
  </si>
  <si>
    <t xml:space="preserve">Necesita de </t>
  </si>
  <si>
    <t>Family</t>
  </si>
  <si>
    <t>Nombre de la familia de aeronaves</t>
  </si>
  <si>
    <t>Nombre del fabricante asociado</t>
  </si>
  <si>
    <t>Retorna información de la familia de aeronaves (familia, fabricante) para registro en bitácora del sistema</t>
  </si>
  <si>
    <t>Identificador único del modelo de aeronave</t>
  </si>
  <si>
    <t>ModelName</t>
  </si>
  <si>
    <t>Nombre del modelo de aeronave</t>
  </si>
  <si>
    <t>AircraftTypeName</t>
  </si>
  <si>
    <t>Nombre del tipo de aeronave</t>
  </si>
  <si>
    <t>EnigneTypeName</t>
  </si>
  <si>
    <t>Nombre del tipo de motor asociado</t>
  </si>
  <si>
    <t>Familia de aeronaves a la que pertenece</t>
  </si>
  <si>
    <t>Fabricante de la aeronave</t>
  </si>
  <si>
    <t>Indica si el modelo de aeronave está activo</t>
  </si>
  <si>
    <t>Retorna información del modelo de aeronave (id, nombre, tipo, motor, familia, fabricante, estado) para registro en bitácora del sistema</t>
  </si>
  <si>
    <t>Identificador único de la matrícula</t>
  </si>
  <si>
    <t>Número de matrícula de la aeronave</t>
  </si>
  <si>
    <t>AircraftModelID</t>
  </si>
  <si>
    <t>Identificador del modelo de aeronave asociado</t>
  </si>
  <si>
    <t>Identificador de la aerolínea propietaria</t>
  </si>
  <si>
    <t>Nombre del modelo de aeronave (campo de consulta)</t>
  </si>
  <si>
    <t>Nombre de la aerolínea (campo de consulta)</t>
  </si>
  <si>
    <t>Retorna información de la matrícula (id, número de cola, modelo, aerolínea) para registro en bitácora del sistema</t>
  </si>
  <si>
    <t>Identificador único de la ruta</t>
  </si>
  <si>
    <t>OriginAirportID</t>
  </si>
  <si>
    <t>Identificador del aeropuerto de origen</t>
  </si>
  <si>
    <t>DestinationAirportID</t>
  </si>
  <si>
    <t>Identificador del aeropuerto de destino</t>
  </si>
  <si>
    <t>Tipo de operación (nacional/internacional)</t>
  </si>
  <si>
    <t>EstimatedFlightTime</t>
  </si>
  <si>
    <t>Tiempo estimado de vuelo en formato HH:MM:SS</t>
  </si>
  <si>
    <t>OriginIataCode</t>
  </si>
  <si>
    <t>Código IATA del aeropuerto de origen</t>
  </si>
  <si>
    <t>OriginAirportName</t>
  </si>
  <si>
    <t>Nombre del aeropuerto de origen</t>
  </si>
  <si>
    <t>DestinationIataCode</t>
  </si>
  <si>
    <t>Código IATA del aeropuerto de destino</t>
  </si>
  <si>
    <t>DestinationAirportName</t>
  </si>
  <si>
    <t>Nombre del aeropuerto de destino</t>
  </si>
  <si>
    <t>RouteCode</t>
  </si>
  <si>
    <t>Código de la ruta (ej. BOG-CLO)</t>
  </si>
  <si>
    <t>Retorna información de la ruta (id, origen, destino, código IATA, tipo, código ruta) para registro en bitácora del sistema</t>
  </si>
  <si>
    <t>Identificador único de la ruta de aerolínea</t>
  </si>
  <si>
    <t>RouteID</t>
  </si>
  <si>
    <t>Identificador de la ruta física asociada</t>
  </si>
  <si>
    <t>Indica si la asignación de ruta está activa</t>
  </si>
  <si>
    <t>Código IATA del aeropuerto de origen (campo de consulta)</t>
  </si>
  <si>
    <t>Código IATA del aeropuerto de destino (campo de consulta)</t>
  </si>
  <si>
    <t>Código de la ruta (campo de consulta)</t>
  </si>
  <si>
    <t>Nombre del aeropuerto de origen (campo de consulta)</t>
  </si>
  <si>
    <t>Nombre del aeropuerto de destino (campo de consulta)</t>
  </si>
  <si>
    <t>Tipo de operación (campo de consulta)</t>
  </si>
  <si>
    <t>Tiempo estimado de vuelo (campo de consulta)</t>
  </si>
  <si>
    <t>Código IATA de la aerolínea (campo de consulta)</t>
  </si>
  <si>
    <t>Tologger</t>
  </si>
  <si>
    <t>Retorna información de la ruta de aerolínea (id, ruta, aerolínea, código, estado) para registro en bitácora del sistema</t>
  </si>
  <si>
    <t>Identificador único de la bitácora diaria</t>
  </si>
  <si>
    <t>LogDate</t>
  </si>
  <si>
    <t>Fecha del registro de la bitácora</t>
  </si>
  <si>
    <t>EmployeeID</t>
  </si>
  <si>
    <t>Identificador del piloto asociado</t>
  </si>
  <si>
    <t>BookPage</t>
  </si>
  <si>
    <t>Integer</t>
  </si>
  <si>
    <t>Número de página del libro de vuelo (opcional)</t>
  </si>
  <si>
    <t>Indica si la bitácora está activa</t>
  </si>
  <si>
    <t>Genera un identificador único para la bitácora diaria usando UUID</t>
  </si>
  <si>
    <t>Retorna información de la bitácora (id, empleado, fecha) para registro en bitácora del sistema</t>
  </si>
  <si>
    <t>Verifica si la bitácora diaria se encuentra activa</t>
  </si>
  <si>
    <t>StatusString</t>
  </si>
  <si>
    <t>Retorna el estado de la bitácora como texto (active/inactive)</t>
  </si>
  <si>
    <t xml:space="preserve">String </t>
  </si>
  <si>
    <t>Identificador único del detalle de bitácora</t>
  </si>
  <si>
    <t>DailyLogbookID</t>
  </si>
  <si>
    <t>Identificador de la bitácora diaria</t>
  </si>
  <si>
    <t>FlightRealDate</t>
  </si>
  <si>
    <t>Fecha real del vuelo en formato YYYY-MM-DD</t>
  </si>
  <si>
    <t>FlightNumber</t>
  </si>
  <si>
    <t>Número del vuelo</t>
  </si>
  <si>
    <t>AirlineRouteID</t>
  </si>
  <si>
    <t>Identificador de la ruta de aerolínea asignada</t>
  </si>
  <si>
    <t>TailNumberID</t>
  </si>
  <si>
    <t>Identificador de la matrícula de la aeronave</t>
  </si>
  <si>
    <t>Passengers</t>
  </si>
  <si>
    <t>Cantidad de pasajeros en el vuelo (opcional)</t>
  </si>
  <si>
    <t>OutTime</t>
  </si>
  <si>
    <t>Hora de salida de bloque - OUT (opcional)</t>
  </si>
  <si>
    <t>TakeOffTime</t>
  </si>
  <si>
    <t>Hora de despegue - OFF (opcional)</t>
  </si>
  <si>
    <t>LandingTime</t>
  </si>
  <si>
    <t>Hora de aterrizaje - ON (opcional)</t>
  </si>
  <si>
    <t>InTime</t>
  </si>
  <si>
    <t>Hora de llegada a bloque - IN (opcional)</t>
  </si>
  <si>
    <t xml:space="preserve"> PilotRole</t>
  </si>
  <si>
    <t>Rol del piloto en el segmento (PF, PM, PFTO, PFL)</t>
  </si>
  <si>
    <t>Posición de tripulación (captain, first officer)</t>
  </si>
  <si>
    <t>CompanionName</t>
  </si>
  <si>
    <t>Nombre del compañero de tripulación (opcional)</t>
  </si>
  <si>
    <t>AirTime</t>
  </si>
  <si>
    <t>Tiempo de vuelo calculado ON - OFF (opcional)</t>
  </si>
  <si>
    <t xml:space="preserve">BlockTime </t>
  </si>
  <si>
    <t>Tiempo de bloque calculado IN - OUT (opcional)</t>
  </si>
  <si>
    <t>ApproachTIme</t>
  </si>
  <si>
    <t>Tipo de aproximación en aterrizaje (APV, VISUAL)</t>
  </si>
  <si>
    <t>FlightType</t>
  </si>
  <si>
    <t>Tipo de vuelo (COMMERCIAL, TRAINING, FERRY, CHECK, POSITIONING)</t>
  </si>
  <si>
    <t>EmployeeLogbookID</t>
  </si>
  <si>
    <t>Identificador del logbook del empleado (opcional)</t>
  </si>
  <si>
    <t>Fecha del registro (campo de consulta)</t>
  </si>
  <si>
    <t>Matrícula de la aeronave (campo de consulta)</t>
  </si>
  <si>
    <t>Genera un identificador único para el detalle de bitácora usando UUID</t>
  </si>
  <si>
    <t xml:space="preserve">void </t>
  </si>
  <si>
    <t>Retorna información del detalle (id, bitácora, número vuelo, fecha, ruta, matrícula, rol piloto, rol, tripulación) para registro en bitácora del sistema</t>
  </si>
  <si>
    <t xml:space="preserve">Dependencia </t>
  </si>
  <si>
    <t>Identificador único del resumen de vuelo</t>
  </si>
  <si>
    <t>PeriodType</t>
  </si>
  <si>
    <t>Tipo de período (MONTHLY, QUARTERLY, ANNUAL, PERIOD_1_15, PERIOD_16_31)</t>
  </si>
  <si>
    <t>PeriodYear</t>
  </si>
  <si>
    <t>Año del período</t>
  </si>
  <si>
    <t>PeriodNumber</t>
  </si>
  <si>
    <t>Número del período dentro del año</t>
  </si>
  <si>
    <t>PeriodStart</t>
  </si>
  <si>
    <t>Fecha de inicio del período (YYYY-MM-DD)</t>
  </si>
  <si>
    <t>PeriodEnd</t>
  </si>
  <si>
    <t>Fecha de fin del período (YYYY-MM-DD)</t>
  </si>
  <si>
    <t>TotalAirTime</t>
  </si>
  <si>
    <t>Tiempo total de vuelo en minutos</t>
  </si>
  <si>
    <t>TotalBlockTIme</t>
  </si>
  <si>
    <t>Tiempo total de bloque en minutos</t>
  </si>
  <si>
    <t>TotalFlights</t>
  </si>
  <si>
    <t>Número total de vuelos</t>
  </si>
  <si>
    <t>TotalLandings</t>
  </si>
  <si>
    <t>Número total de aterrizajes</t>
  </si>
  <si>
    <t>CatApproaches</t>
  </si>
  <si>
    <t>Número de aproximaciones de categoría</t>
  </si>
  <si>
    <t>LastCatApproach</t>
  </si>
  <si>
    <t>Fecha de la última aproximación de categoría (opcional)</t>
  </si>
  <si>
    <t>LastUpdated</t>
  </si>
  <si>
    <t>Fecha de última actualización del resumen (opcional</t>
  </si>
  <si>
    <t>Genera un identificador único para el resumen de vuelo usando UUID</t>
  </si>
  <si>
    <t>Period</t>
  </si>
  <si>
    <t>Tipo de período (monthly, bimonthly, quarterly, semiannual, annual)</t>
  </si>
  <si>
    <t>Fecha de inicio del período</t>
  </si>
  <si>
    <t>Fecha de fin del período</t>
  </si>
  <si>
    <t>TotalMinutes</t>
  </si>
  <si>
    <t>Total de minutos de vuelo en el período</t>
  </si>
  <si>
    <t>Total de vuelos en el período</t>
  </si>
  <si>
    <t>ToltalLandings</t>
  </si>
  <si>
    <t>Total de aterrizajes en el período</t>
  </si>
  <si>
    <t>Breakdown</t>
  </si>
  <si>
    <t>map[string]int</t>
  </si>
  <si>
    <t>Desglose de minutos por rol de piloto</t>
  </si>
  <si>
    <t>Esta estructura no define métodos de instancia; las funciones asociadas (IsValidPeriod, FormatMinutesToHHMM) son funciones de paquete</t>
  </si>
  <si>
    <t>Identificador único del mensaje</t>
  </si>
  <si>
    <t>Code</t>
  </si>
  <si>
    <t>Código único del mensaje en el sistema</t>
  </si>
  <si>
    <t>Type</t>
  </si>
  <si>
    <t>Tipo de mensaje (ERROR, EXITO, WARNING, INFO, DEBUG)</t>
  </si>
  <si>
    <t>Category</t>
  </si>
  <si>
    <t>Categoría del mensaje</t>
  </si>
  <si>
    <t>Module</t>
  </si>
  <si>
    <t>Módulo del sistema al que pertenece el mensaje</t>
  </si>
  <si>
    <t>Title</t>
  </si>
  <si>
    <t>Título del mensaje</t>
  </si>
  <si>
    <t>Content</t>
  </si>
  <si>
    <t>Contenido/cuerpo del mensaje</t>
  </si>
  <si>
    <t>Indica si el mensaje está activo</t>
  </si>
  <si>
    <t>CreatedAt</t>
  </si>
  <si>
    <t>Fecha de creación del mensaje</t>
  </si>
  <si>
    <t>UpdatedAt</t>
  </si>
  <si>
    <t>Fecha de última actualización del mensaje</t>
  </si>
  <si>
    <t>Genera un identificador único para el mensaje usando UUID</t>
  </si>
  <si>
    <t>Retorna información del mensaje (id, código, tipo, módulo) para registro en bitácora del sistema</t>
  </si>
  <si>
    <t>Validate</t>
  </si>
  <si>
    <t>Valida que el mensaje tenga un código asignado, retorna error si no lo tiene</t>
  </si>
  <si>
    <t>error</t>
  </si>
  <si>
    <t>ErrMessageCodeRequired</t>
  </si>
  <si>
    <t>Usada por</t>
  </si>
  <si>
    <t>Rol del piloto (PF, PM, PFTO, PFL)</t>
  </si>
  <si>
    <t>TotalSeconds</t>
  </si>
  <si>
    <t>Total de segundos de vuelo para ese rol</t>
  </si>
  <si>
    <t>FlightCount</t>
  </si>
  <si>
    <t>Número de vuelos para ese rol</t>
  </si>
  <si>
    <t>Esta estructura no define métodos</t>
  </si>
  <si>
    <t>Tipo de alerta (HOUR_LIMIT_15_DAYS, HOUR_LIMIT_MONTHLY, HOUR_LIMIT_QUARTERLY, HOUR_LIMIT_ANNUAL, MIN_LANDINGS_90_DAYS)</t>
  </si>
  <si>
    <t>Severity</t>
  </si>
  <si>
    <t>Severidad de la alerta (WARNING, INFO, NOTICE)</t>
  </si>
  <si>
    <t>Mensaje descriptivo de la alerta</t>
  </si>
  <si>
    <t>CurrentValue</t>
  </si>
  <si>
    <t>Valor actual del piloto</t>
  </si>
  <si>
    <t>Threshold</t>
  </si>
  <si>
    <t>Umbral regulatorio que genera la alerta</t>
  </si>
  <si>
    <t xml:space="preserve">Usada por </t>
  </si>
  <si>
    <t xml:space="preserve">Composición </t>
  </si>
  <si>
    <t>PilotRolePF</t>
  </si>
  <si>
    <t>String(constante)</t>
  </si>
  <si>
    <t>final</t>
  </si>
  <si>
    <t>static</t>
  </si>
  <si>
    <t>PF</t>
  </si>
  <si>
    <t>Pilot Flying -- piloto que vuela la aeronave</t>
  </si>
  <si>
    <t>PilotRolePM</t>
  </si>
  <si>
    <t>PM</t>
  </si>
  <si>
    <t>Pilot Monitoring -- piloto que monitorea</t>
  </si>
  <si>
    <t>PilotRolePFTO</t>
  </si>
  <si>
    <t>PFTO</t>
  </si>
  <si>
    <t>Pilot Flying Take Off -- piloto que realiza el despegue</t>
  </si>
  <si>
    <t>PilotRolePFL</t>
  </si>
  <si>
    <t>PFL</t>
  </si>
  <si>
    <t>Pilot Flying Landing -- piloto que realiza el aterrizaje</t>
  </si>
  <si>
    <t>Los enums en Go no usan constructores</t>
  </si>
  <si>
    <t>los enums en Go no requieren getters/setters</t>
  </si>
  <si>
    <t xml:space="preserve"> </t>
  </si>
  <si>
    <t>IsValidPilotRole</t>
  </si>
  <si>
    <t xml:space="preserve">valida si una cadena es un rol de piloto valido </t>
  </si>
  <si>
    <t>role</t>
  </si>
  <si>
    <t>entrada</t>
  </si>
  <si>
    <t>Cadena a validar</t>
  </si>
  <si>
    <t>CrewRoleCaptain</t>
  </si>
  <si>
    <t>captain</t>
  </si>
  <si>
    <t>Capitán de la aeronave</t>
  </si>
  <si>
    <t>CrewRoleFirstOfficer</t>
  </si>
  <si>
    <t>first officer</t>
  </si>
  <si>
    <t>Primer Oficial(copiloto)</t>
  </si>
  <si>
    <t>Los enums en Go no requieren getters/setters</t>
  </si>
  <si>
    <t>IsValidCrewRole</t>
  </si>
  <si>
    <t>Valida si una cadena es un rol de tripulación válido (cadena vacía es válida, representa NULL)</t>
  </si>
  <si>
    <t>Composicion</t>
  </si>
  <si>
    <t>ApproachTypeAPV</t>
  </si>
  <si>
    <t>APV</t>
  </si>
  <si>
    <t>Approach with Vertical Guidance — aproximación con guía vertical</t>
  </si>
  <si>
    <t>ApproachTypeVisual</t>
  </si>
  <si>
    <t>VISUAL</t>
  </si>
  <si>
    <t>Visual Approach — aproximación visual</t>
  </si>
  <si>
    <t>IsValidApproachType</t>
  </si>
  <si>
    <t>Valida si una cadena es un tipo de aproximación válido (cadena vacía es válida, representa NULL)</t>
  </si>
  <si>
    <t>approachType</t>
  </si>
  <si>
    <t>string</t>
  </si>
  <si>
    <t>cadena a validar</t>
  </si>
  <si>
    <t>RoleAdmin</t>
  </si>
  <si>
    <t>admin</t>
  </si>
  <si>
    <t>Administrador del sistema con acceso completo</t>
  </si>
  <si>
    <t>RoleUser</t>
  </si>
  <si>
    <t>pilot</t>
  </si>
  <si>
    <t>Piloto/usuario estándar del sistema</t>
  </si>
  <si>
    <t>Los enums en Go no requieren geters/setters</t>
  </si>
  <si>
    <t xml:space="preserve">Este enum no define métodos de validación </t>
  </si>
  <si>
    <t>Composición</t>
  </si>
  <si>
    <t>TypeError</t>
  </si>
  <si>
    <t>ERROR</t>
  </si>
  <si>
    <t>Mensaje de error del sistema</t>
  </si>
  <si>
    <t>TypeSuccess</t>
  </si>
  <si>
    <t>EXITO</t>
  </si>
  <si>
    <t>Mensaje de operación exitosa</t>
  </si>
  <si>
    <t>TypeWarning</t>
  </si>
  <si>
    <t>WARNING</t>
  </si>
  <si>
    <t>Mensaje de advertencia</t>
  </si>
  <si>
    <t>TypeInfo</t>
  </si>
  <si>
    <t>INFO</t>
  </si>
  <si>
    <t>Mensaje informativo</t>
  </si>
  <si>
    <t>TypeDebug</t>
  </si>
  <si>
    <t>DEBUG</t>
  </si>
  <si>
    <t xml:space="preserve">Mensaje de depuracion </t>
  </si>
  <si>
    <t>Este enum no define métodos de validación</t>
  </si>
  <si>
    <t>SummaryPeriodMonthly</t>
  </si>
  <si>
    <t xml:space="preserve">final </t>
  </si>
  <si>
    <t>MONTHLY</t>
  </si>
  <si>
    <t>Período mensual</t>
  </si>
  <si>
    <t>SummaryPeriodQuarterly</t>
  </si>
  <si>
    <t>QUARTERLY</t>
  </si>
  <si>
    <t>Período trimestral</t>
  </si>
  <si>
    <t>SummaryPeriodAnnual</t>
  </si>
  <si>
    <t>ANNUAL</t>
  </si>
  <si>
    <t>Período anual</t>
  </si>
  <si>
    <t>SummaryPeriodFirst15</t>
  </si>
  <si>
    <t>PERIOD_1_15</t>
  </si>
  <si>
    <t>Primera quincena del mes (días 1-15)</t>
  </si>
  <si>
    <t>SummaryPeriodSecondHalf</t>
  </si>
  <si>
    <t>PERIOD_16_31</t>
  </si>
  <si>
    <t>Segunda quincena del mes (días 16-31</t>
  </si>
  <si>
    <t>Modificador acceso clase top level</t>
  </si>
  <si>
    <t>Tipo estructura</t>
  </si>
  <si>
    <t>Tipo acceso</t>
  </si>
  <si>
    <t>Tipo de dato retorno método</t>
  </si>
  <si>
    <t>class</t>
  </si>
  <si>
    <t>public</t>
  </si>
  <si>
    <t>private</t>
  </si>
  <si>
    <t>byte/Byte</t>
  </si>
  <si>
    <t>Defecto</t>
  </si>
  <si>
    <t>Por valor</t>
  </si>
  <si>
    <t>getter</t>
  </si>
  <si>
    <t>abstract class</t>
  </si>
  <si>
    <t>Agregación</t>
  </si>
  <si>
    <t>default</t>
  </si>
  <si>
    <t>protected</t>
  </si>
  <si>
    <t>short/Short</t>
  </si>
  <si>
    <t>Parametrizado</t>
  </si>
  <si>
    <t>Por referencia</t>
  </si>
  <si>
    <t>setter</t>
  </si>
  <si>
    <t>interface</t>
  </si>
  <si>
    <t>int/Integer</t>
  </si>
  <si>
    <t>long/Long</t>
  </si>
  <si>
    <t>record</t>
  </si>
  <si>
    <t>Herencia</t>
  </si>
  <si>
    <t>float/Float</t>
  </si>
  <si>
    <t>Realización</t>
  </si>
  <si>
    <t>double/Double</t>
  </si>
  <si>
    <t>char/Character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</si>
</sst>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0" fillId="8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4" xfId="1" applyFont="1" applyBorder="1"/>
    <xf numFmtId="0" fontId="3" fillId="0" borderId="4" xfId="0" applyFont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1" fillId="0" borderId="28" xfId="0" applyFont="1" applyBorder="1" applyAlignment="1">
      <alignment horizontal="center"/>
    </xf>
    <xf numFmtId="0" fontId="0" fillId="0" borderId="13" xfId="0" applyBorder="1"/>
    <xf numFmtId="0" fontId="1" fillId="0" borderId="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" fillId="8" borderId="1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wrapText="1"/>
    </xf>
    <xf numFmtId="0" fontId="2" fillId="0" borderId="5" xfId="2" applyBorder="1" applyAlignment="1">
      <alignment vertical="center"/>
    </xf>
    <xf numFmtId="0" fontId="4" fillId="0" borderId="0" xfId="2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8" borderId="5" xfId="2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2" fillId="0" borderId="31" xfId="2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2" fillId="0" borderId="12" xfId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3" xfId="0" applyFill="1" applyBorder="1" applyAlignment="1">
      <alignment horizontal="left" vertical="center"/>
    </xf>
    <xf numFmtId="0" fontId="0" fillId="8" borderId="14" xfId="0" applyFill="1" applyBorder="1" applyAlignment="1">
      <alignment horizontal="left" vertical="center"/>
    </xf>
    <xf numFmtId="0" fontId="0" fillId="8" borderId="15" xfId="0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2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left" vertical="center" wrapText="1" shrinkToFit="1"/>
    </xf>
    <xf numFmtId="0" fontId="0" fillId="0" borderId="14" xfId="0" applyBorder="1" applyAlignment="1">
      <alignment wrapText="1" shrinkToFit="1"/>
    </xf>
    <xf numFmtId="0" fontId="0" fillId="0" borderId="15" xfId="0" applyBorder="1" applyAlignment="1">
      <alignment wrapText="1" shrinkToFit="1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2" xfId="0" applyBorder="1" applyAlignment="1"/>
    <xf numFmtId="0" fontId="0" fillId="0" borderId="26" xfId="0" applyBorder="1" applyAlignment="1"/>
    <xf numFmtId="0" fontId="0" fillId="0" borderId="23" xfId="0" applyBorder="1" applyAlignment="1"/>
    <xf numFmtId="0" fontId="0" fillId="0" borderId="27" xfId="0" applyBorder="1" applyAlignmen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FFFF"/>
      <color rgb="FFF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619125</xdr:colOff>
      <xdr:row>9</xdr:row>
      <xdr:rowOff>133350</xdr:rowOff>
    </xdr:from>
    <xdr:to>
      <xdr:col>39</xdr:col>
      <xdr:colOff>695325</xdr:colOff>
      <xdr:row>74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9D74A2-4E8F-664F-E799-BC8627AF1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5" y="1847850"/>
          <a:ext cx="21412200" cy="1234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topLeftCell="U20" zoomScale="93" zoomScaleNormal="162" workbookViewId="0">
      <selection activeCell="S25" sqref="S25"/>
    </sheetView>
  </sheetViews>
  <sheetFormatPr defaultColWidth="11.42578125" defaultRowHeight="15"/>
  <cols>
    <col min="1" max="1" width="24.28515625" style="18" bestFit="1" customWidth="1"/>
    <col min="2" max="2" width="11.42578125" style="18" customWidth="1"/>
    <col min="3" max="16384" width="11.42578125" style="18"/>
  </cols>
  <sheetData>
    <row r="2" spans="1:1">
      <c r="A2" s="18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A21" sqref="A21"/>
    </sheetView>
  </sheetViews>
  <sheetFormatPr defaultColWidth="11.42578125" defaultRowHeight="15"/>
  <cols>
    <col min="1" max="1" width="21.42578125" customWidth="1"/>
    <col min="3" max="3" width="174.42578125" customWidth="1"/>
    <col min="4" max="4" width="22" customWidth="1"/>
    <col min="5" max="5" width="16" customWidth="1"/>
  </cols>
  <sheetData>
    <row r="1" spans="1:5">
      <c r="A1" s="20" t="s">
        <v>1</v>
      </c>
      <c r="B1" s="21" t="s">
        <v>2</v>
      </c>
      <c r="C1" s="29" t="s">
        <v>3</v>
      </c>
      <c r="D1" s="31" t="s">
        <v>4</v>
      </c>
      <c r="E1" s="31" t="s">
        <v>5</v>
      </c>
    </row>
    <row r="2" spans="1:5">
      <c r="A2" s="23" t="s">
        <v>6</v>
      </c>
      <c r="B2" s="19" t="s">
        <v>7</v>
      </c>
      <c r="C2" s="30" t="s">
        <v>8</v>
      </c>
      <c r="D2" s="19" t="s">
        <v>9</v>
      </c>
      <c r="E2" s="19" t="s">
        <v>10</v>
      </c>
    </row>
    <row r="3" spans="1:5">
      <c r="A3" s="23" t="s">
        <v>11</v>
      </c>
      <c r="B3" s="19" t="s">
        <v>7</v>
      </c>
      <c r="C3" s="30" t="s">
        <v>12</v>
      </c>
      <c r="D3" s="19" t="s">
        <v>9</v>
      </c>
      <c r="E3" s="19" t="s">
        <v>10</v>
      </c>
    </row>
    <row r="4" spans="1:5">
      <c r="A4" s="24" t="s">
        <v>13</v>
      </c>
      <c r="B4" s="19" t="s">
        <v>7</v>
      </c>
      <c r="C4" s="30" t="s">
        <v>14</v>
      </c>
      <c r="D4" s="19" t="s">
        <v>9</v>
      </c>
      <c r="E4" s="19" t="s">
        <v>10</v>
      </c>
    </row>
    <row r="5" spans="1:5">
      <c r="A5" s="24" t="s">
        <v>15</v>
      </c>
      <c r="B5" s="19" t="s">
        <v>7</v>
      </c>
      <c r="C5" s="30" t="s">
        <v>16</v>
      </c>
      <c r="D5" s="19" t="s">
        <v>9</v>
      </c>
      <c r="E5" s="19" t="s">
        <v>10</v>
      </c>
    </row>
    <row r="6" spans="1:5">
      <c r="A6" s="24" t="s">
        <v>17</v>
      </c>
      <c r="B6" s="19" t="s">
        <v>7</v>
      </c>
      <c r="C6" s="30" t="s">
        <v>18</v>
      </c>
      <c r="D6" s="19" t="s">
        <v>9</v>
      </c>
      <c r="E6" s="19" t="s">
        <v>10</v>
      </c>
    </row>
    <row r="7" spans="1:5">
      <c r="A7" s="23" t="s">
        <v>19</v>
      </c>
      <c r="B7" s="19" t="s">
        <v>7</v>
      </c>
      <c r="C7" s="30" t="s">
        <v>20</v>
      </c>
      <c r="D7" s="19" t="s">
        <v>9</v>
      </c>
      <c r="E7" s="19" t="s">
        <v>10</v>
      </c>
    </row>
    <row r="8" spans="1:5">
      <c r="A8" s="24" t="s">
        <v>21</v>
      </c>
      <c r="B8" s="19" t="s">
        <v>7</v>
      </c>
      <c r="C8" s="30" t="s">
        <v>22</v>
      </c>
      <c r="D8" s="19" t="s">
        <v>9</v>
      </c>
      <c r="E8" s="19" t="s">
        <v>10</v>
      </c>
    </row>
    <row r="9" spans="1:5">
      <c r="A9" s="24" t="s">
        <v>23</v>
      </c>
      <c r="B9" s="19" t="s">
        <v>7</v>
      </c>
      <c r="C9" s="30" t="s">
        <v>24</v>
      </c>
      <c r="D9" s="19" t="s">
        <v>9</v>
      </c>
      <c r="E9" s="19" t="s">
        <v>10</v>
      </c>
    </row>
    <row r="10" spans="1:5">
      <c r="A10" s="24" t="s">
        <v>25</v>
      </c>
      <c r="B10" s="19" t="s">
        <v>7</v>
      </c>
      <c r="C10" s="30" t="s">
        <v>26</v>
      </c>
      <c r="D10" s="19" t="s">
        <v>9</v>
      </c>
      <c r="E10" s="19" t="s">
        <v>10</v>
      </c>
    </row>
    <row r="11" spans="1:5">
      <c r="A11" s="24" t="s">
        <v>27</v>
      </c>
      <c r="B11" s="19" t="s">
        <v>7</v>
      </c>
      <c r="C11" s="30" t="s">
        <v>28</v>
      </c>
      <c r="D11" s="19" t="s">
        <v>9</v>
      </c>
      <c r="E11" s="19" t="s">
        <v>10</v>
      </c>
    </row>
    <row r="12" spans="1:5">
      <c r="A12" s="24" t="s">
        <v>29</v>
      </c>
      <c r="B12" s="19" t="s">
        <v>7</v>
      </c>
      <c r="C12" s="30" t="s">
        <v>30</v>
      </c>
      <c r="D12" s="19" t="s">
        <v>9</v>
      </c>
      <c r="E12" s="19" t="s">
        <v>10</v>
      </c>
    </row>
    <row r="13" spans="1:5" ht="15.75" customHeight="1">
      <c r="A13" s="24" t="s">
        <v>31</v>
      </c>
      <c r="B13" s="19" t="s">
        <v>7</v>
      </c>
      <c r="C13" s="30" t="s">
        <v>32</v>
      </c>
      <c r="D13" s="19" t="s">
        <v>9</v>
      </c>
      <c r="E13" s="19" t="s">
        <v>10</v>
      </c>
    </row>
    <row r="14" spans="1:5" ht="30.75">
      <c r="A14" s="24" t="s">
        <v>33</v>
      </c>
      <c r="B14" s="19" t="s">
        <v>7</v>
      </c>
      <c r="C14" s="41" t="s">
        <v>34</v>
      </c>
      <c r="D14" s="19" t="s">
        <v>9</v>
      </c>
      <c r="E14" s="19" t="s">
        <v>10</v>
      </c>
    </row>
    <row r="15" spans="1:5">
      <c r="A15" s="24" t="s">
        <v>35</v>
      </c>
      <c r="B15" s="19" t="s">
        <v>7</v>
      </c>
      <c r="C15" s="30" t="s">
        <v>36</v>
      </c>
      <c r="D15" s="19" t="s">
        <v>9</v>
      </c>
      <c r="E15" s="19" t="s">
        <v>10</v>
      </c>
    </row>
    <row r="16" spans="1:5">
      <c r="A16" s="24" t="s">
        <v>37</v>
      </c>
      <c r="B16" s="19" t="s">
        <v>7</v>
      </c>
      <c r="C16" s="30" t="s">
        <v>38</v>
      </c>
      <c r="D16" s="19" t="s">
        <v>9</v>
      </c>
      <c r="E16" s="19" t="s">
        <v>10</v>
      </c>
    </row>
    <row r="17" spans="1:5">
      <c r="A17" s="24" t="s">
        <v>39</v>
      </c>
      <c r="B17" s="19" t="s">
        <v>7</v>
      </c>
      <c r="C17" s="30" t="s">
        <v>40</v>
      </c>
      <c r="D17" s="19" t="s">
        <v>9</v>
      </c>
      <c r="E17" s="19" t="s">
        <v>10</v>
      </c>
    </row>
    <row r="18" spans="1:5">
      <c r="A18" s="24" t="s">
        <v>41</v>
      </c>
      <c r="B18" s="19" t="s">
        <v>7</v>
      </c>
      <c r="C18" s="30" t="s">
        <v>42</v>
      </c>
      <c r="D18" s="19" t="s">
        <v>9</v>
      </c>
      <c r="E18" s="19" t="s">
        <v>10</v>
      </c>
    </row>
    <row r="19" spans="1:5">
      <c r="A19" s="24" t="s">
        <v>43</v>
      </c>
      <c r="B19" s="19" t="s">
        <v>7</v>
      </c>
      <c r="C19" s="30" t="s">
        <v>44</v>
      </c>
      <c r="D19" s="19" t="s">
        <v>9</v>
      </c>
      <c r="E19" s="19" t="s">
        <v>10</v>
      </c>
    </row>
    <row r="20" spans="1:5">
      <c r="A20" s="24" t="s">
        <v>45</v>
      </c>
      <c r="B20" s="19" t="s">
        <v>7</v>
      </c>
      <c r="C20" s="30" t="s">
        <v>46</v>
      </c>
      <c r="D20" s="19" t="s">
        <v>9</v>
      </c>
      <c r="E20" s="19" t="s">
        <v>10</v>
      </c>
    </row>
    <row r="21" spans="1:5">
      <c r="A21" s="24" t="s">
        <v>47</v>
      </c>
      <c r="B21" s="19" t="s">
        <v>48</v>
      </c>
      <c r="C21" s="30" t="s">
        <v>49</v>
      </c>
      <c r="D21" s="19" t="s">
        <v>9</v>
      </c>
      <c r="E21" s="19" t="s">
        <v>10</v>
      </c>
    </row>
    <row r="22" spans="1:5">
      <c r="A22" s="24" t="s">
        <v>50</v>
      </c>
      <c r="B22" s="19" t="s">
        <v>48</v>
      </c>
      <c r="C22" s="30" t="s">
        <v>51</v>
      </c>
      <c r="D22" s="19" t="s">
        <v>9</v>
      </c>
      <c r="E22" s="19" t="s">
        <v>10</v>
      </c>
    </row>
    <row r="23" spans="1:5">
      <c r="A23" s="24" t="s">
        <v>52</v>
      </c>
      <c r="B23" s="19" t="s">
        <v>48</v>
      </c>
      <c r="C23" s="30" t="s">
        <v>53</v>
      </c>
      <c r="D23" s="19" t="s">
        <v>9</v>
      </c>
      <c r="E23" s="19" t="s">
        <v>10</v>
      </c>
    </row>
    <row r="24" spans="1:5">
      <c r="A24" s="24" t="s">
        <v>54</v>
      </c>
      <c r="B24" s="19" t="s">
        <v>48</v>
      </c>
      <c r="C24" s="30" t="s">
        <v>55</v>
      </c>
      <c r="D24" s="19" t="s">
        <v>9</v>
      </c>
      <c r="E24" s="19" t="s">
        <v>10</v>
      </c>
    </row>
    <row r="25" spans="1:5">
      <c r="A25" s="24" t="s">
        <v>56</v>
      </c>
      <c r="B25" s="19" t="s">
        <v>48</v>
      </c>
      <c r="C25" s="30" t="s">
        <v>57</v>
      </c>
      <c r="D25" s="19" t="s">
        <v>9</v>
      </c>
      <c r="E25" s="19" t="s">
        <v>10</v>
      </c>
    </row>
    <row r="26" spans="1:5">
      <c r="A26" s="24" t="s">
        <v>58</v>
      </c>
      <c r="B26" s="19" t="s">
        <v>48</v>
      </c>
      <c r="C26" s="30" t="s">
        <v>59</v>
      </c>
      <c r="D26" s="19" t="s">
        <v>9</v>
      </c>
      <c r="E26" s="19" t="s">
        <v>10</v>
      </c>
    </row>
  </sheetData>
  <hyperlinks>
    <hyperlink ref="A2" location="'Employee'!A1" display="Employee" xr:uid="{00000000-0004-0000-0100-000000000000}"/>
    <hyperlink ref="A3" location="'Airline'!A1" display="Airline" xr:uid="{00000000-0004-0000-0100-000001000000}"/>
    <hyperlink ref="A4" location="'AirlineEmployee'!A1" display="AirlineEmployee" xr:uid="{00000000-0004-0000-0100-000002000000}"/>
    <hyperlink ref="A5" location="'Airport'!A1" display="Airport" xr:uid="{00000000-0004-0000-0100-000003000000}"/>
    <hyperlink ref="A6" location="'Manufacturer'!A1" display="Manufacturer" xr:uid="{00000000-0004-0000-0100-000004000000}"/>
    <hyperlink ref="A7" location="'Engine'!A1" display="Engine" xr:uid="{00000000-0004-0000-0100-000005000000}"/>
    <hyperlink ref="A8" location="'AircraftFamily'!A1" display="AircraftFamily" xr:uid="{00000000-0004-0000-0100-000006000000}"/>
    <hyperlink ref="A9" location="'AircraftModel'!A1" display="AircraftModel" xr:uid="{00000000-0004-0000-0100-000007000000}"/>
    <hyperlink ref="A10" location="'TailNumber'!A1" display="TailNumber" xr:uid="{00000000-0004-0000-0100-000008000000}"/>
    <hyperlink ref="A11" location="'Route'!A1" display="Route" xr:uid="{00000000-0004-0000-0100-000009000000}"/>
    <hyperlink ref="A12" location="'AirlineRoute'!A1" display="AirlineRoute" xr:uid="{00000000-0004-0000-0100-00000A000000}"/>
    <hyperlink ref="A13" location="'DailyLogbook'!A1" display="DailyLogbook" xr:uid="{00000000-0004-0000-0100-00000B000000}"/>
    <hyperlink ref="A14" location="'DailyLogbookDetail'!A1" display="DailyLogbookDetail" xr:uid="{00000000-0004-0000-0100-00000C000000}"/>
    <hyperlink ref="A15" location="'EmployeeFlightSummary'!A1" display="EmployeeFlightSummary" xr:uid="{00000000-0004-0000-0100-00000D000000}"/>
    <hyperlink ref="A16" location="'FlightHoursSummary'!A1" display="FlightHoursSummary" xr:uid="{00000000-0004-0000-0100-00000E000000}"/>
    <hyperlink ref="A17" location="'PilotRoleBreakdown'!A1" display="PilotRoleBreakdown" xr:uid="{00000000-0004-0000-0100-00000F000000}"/>
    <hyperlink ref="A18" location="'FlightAlert'!A1" display="FlightAlert" xr:uid="{00000000-0004-0000-0100-000010000000}"/>
    <hyperlink ref="A19" location="'PeriodInfo'!A1" display="PeriodInfo" xr:uid="{00000000-0004-0000-0100-000011000000}"/>
    <hyperlink ref="A20" location="'Message'!A1" display="Message" xr:uid="{00000000-0004-0000-0100-000012000000}"/>
    <hyperlink ref="A21" location="'EmployeeRole'!A1" display="EmployeeRole" xr:uid="{00000000-0004-0000-0100-000013000000}"/>
    <hyperlink ref="A22" location="'PilotRole'!A1" display="PilotRole" xr:uid="{00000000-0004-0000-0100-000014000000}"/>
    <hyperlink ref="A23" location="'CrewRole'!A1" display="CrewRole" xr:uid="{00000000-0004-0000-0100-000015000000}"/>
    <hyperlink ref="A24" location="'ApproachType'!A1" display="ApproachType" xr:uid="{00000000-0004-0000-0100-000016000000}"/>
    <hyperlink ref="A25" location="'MessageType'!A1" display="MessageType" xr:uid="{00000000-0004-0000-0100-000017000000}"/>
    <hyperlink ref="A26" location="'SummaryPeriodType'!A1" display="SummaryPeriodType" xr:uid="{00000000-0004-0000-0100-000018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workbookViewId="0">
      <selection activeCell="J20" sqref="J20:N20"/>
    </sheetView>
  </sheetViews>
  <sheetFormatPr defaultColWidth="19.7109375" defaultRowHeight="15"/>
  <cols>
    <col min="1" max="1" width="28.7109375" style="1" customWidth="1"/>
    <col min="2" max="2" width="19.7109375" style="1" customWidth="1"/>
    <col min="3" max="3" width="27.140625" style="1" bestFit="1" customWidth="1"/>
    <col min="4" max="4" width="41.42578125" style="1" customWidth="1"/>
    <col min="5" max="5" width="65.42578125" style="1" customWidth="1"/>
    <col min="6" max="6" width="32.42578125" style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7109375" style="1" customWidth="1"/>
    <col min="13" max="13" width="10" style="1" bestFit="1" customWidth="1"/>
    <col min="14" max="14" width="58.42578125" style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</f>
        <v>Employee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</f>
        <v>Estructura que representa a un empleado del sistema, ya sea piloto o administrador, con sus datos personales, credenciales de acceso y rol asignado.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68</v>
      </c>
      <c r="B9" s="53" t="s">
        <v>69</v>
      </c>
      <c r="C9" s="108"/>
      <c r="D9" s="109"/>
      <c r="E9" s="42" t="str">
        <f>HYPERLINK("#'"&amp;F9&amp;"'!A1", F9)</f>
        <v>AirlineEmployee</v>
      </c>
      <c r="F9" s="43" t="s">
        <v>13</v>
      </c>
    </row>
    <row r="10" spans="1:14">
      <c r="A10" s="6" t="s">
        <v>68</v>
      </c>
      <c r="B10" s="53" t="s">
        <v>69</v>
      </c>
      <c r="C10" s="108"/>
      <c r="D10" s="109"/>
      <c r="E10" s="42" t="str">
        <f t="shared" ref="E10:E12" si="0">HYPERLINK("#'"&amp;F10&amp;"'!A1", F10)</f>
        <v>DailyLogbook</v>
      </c>
      <c r="F10" s="43" t="s">
        <v>31</v>
      </c>
    </row>
    <row r="11" spans="1:14">
      <c r="A11" s="6" t="s">
        <v>68</v>
      </c>
      <c r="B11" s="53" t="s">
        <v>69</v>
      </c>
      <c r="C11" s="108"/>
      <c r="D11" s="109"/>
      <c r="E11" s="42" t="str">
        <f t="shared" si="0"/>
        <v>EmployeeFlightSummary</v>
      </c>
      <c r="F11" s="44" t="s">
        <v>35</v>
      </c>
    </row>
    <row r="12" spans="1:14" ht="15.75" customHeight="1" thickBot="1">
      <c r="A12" s="6" t="s">
        <v>70</v>
      </c>
      <c r="B12" s="53" t="s">
        <v>71</v>
      </c>
      <c r="C12" s="108"/>
      <c r="D12" s="109"/>
      <c r="E12" s="42" t="str">
        <f t="shared" si="0"/>
        <v>EmployeeRole</v>
      </c>
      <c r="F12" s="44" t="s">
        <v>47</v>
      </c>
    </row>
    <row r="13" spans="1:14">
      <c r="A13" s="52" t="s">
        <v>72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7"/>
    </row>
    <row r="14" spans="1:14">
      <c r="A14" s="56" t="s">
        <v>4</v>
      </c>
      <c r="B14" s="55" t="s">
        <v>73</v>
      </c>
      <c r="C14" s="55" t="s">
        <v>74</v>
      </c>
      <c r="D14" s="109"/>
      <c r="E14" s="55" t="s">
        <v>75</v>
      </c>
      <c r="F14" s="55" t="s">
        <v>76</v>
      </c>
      <c r="G14" s="55" t="s">
        <v>77</v>
      </c>
      <c r="H14" s="111"/>
      <c r="I14" s="112"/>
      <c r="J14" s="55" t="s">
        <v>78</v>
      </c>
      <c r="K14" s="111"/>
      <c r="L14" s="111"/>
      <c r="M14" s="111"/>
      <c r="N14" s="112"/>
    </row>
    <row r="15" spans="1:14">
      <c r="A15" s="113"/>
      <c r="B15" s="114"/>
      <c r="C15" s="10" t="s">
        <v>74</v>
      </c>
      <c r="D15" s="10" t="s">
        <v>79</v>
      </c>
      <c r="E15" s="114"/>
      <c r="F15" s="114"/>
      <c r="G15" s="115"/>
      <c r="H15" s="116"/>
      <c r="I15" s="117"/>
      <c r="J15" s="115"/>
      <c r="K15" s="116"/>
      <c r="L15" s="116"/>
      <c r="M15" s="116"/>
      <c r="N15" s="117"/>
    </row>
    <row r="16" spans="1:14">
      <c r="A16" s="6" t="s">
        <v>62</v>
      </c>
      <c r="B16" s="3" t="s">
        <v>80</v>
      </c>
      <c r="C16" s="3" t="s">
        <v>81</v>
      </c>
      <c r="D16" s="3"/>
      <c r="E16" s="3" t="s">
        <v>82</v>
      </c>
      <c r="F16" s="3" t="s">
        <v>83</v>
      </c>
      <c r="G16" s="53"/>
      <c r="H16" s="108"/>
      <c r="I16" s="109"/>
      <c r="J16" s="53" t="s">
        <v>84</v>
      </c>
      <c r="K16" s="108"/>
      <c r="L16" s="108"/>
      <c r="M16" s="108"/>
      <c r="N16" s="109"/>
    </row>
    <row r="17" spans="1:14">
      <c r="A17" s="6" t="s">
        <v>62</v>
      </c>
      <c r="B17" s="3" t="s">
        <v>85</v>
      </c>
      <c r="C17" s="3" t="s">
        <v>81</v>
      </c>
      <c r="D17" s="3"/>
      <c r="E17" s="3" t="s">
        <v>82</v>
      </c>
      <c r="F17" s="3" t="s">
        <v>83</v>
      </c>
      <c r="G17" s="53"/>
      <c r="H17" s="108"/>
      <c r="I17" s="109"/>
      <c r="J17" s="53" t="s">
        <v>86</v>
      </c>
      <c r="K17" s="108"/>
      <c r="L17" s="108"/>
      <c r="M17" s="108"/>
      <c r="N17" s="109"/>
    </row>
    <row r="18" spans="1:14">
      <c r="A18" s="6" t="s">
        <v>62</v>
      </c>
      <c r="B18" s="3" t="s">
        <v>87</v>
      </c>
      <c r="C18" s="3" t="s">
        <v>81</v>
      </c>
      <c r="D18" s="3"/>
      <c r="E18" s="3" t="s">
        <v>82</v>
      </c>
      <c r="F18" s="3" t="s">
        <v>83</v>
      </c>
      <c r="G18" s="71"/>
      <c r="H18" s="71"/>
      <c r="I18" s="71"/>
      <c r="J18" s="67" t="s">
        <v>88</v>
      </c>
      <c r="K18" s="68"/>
      <c r="L18" s="68"/>
      <c r="M18" s="68"/>
      <c r="N18" s="69"/>
    </row>
    <row r="19" spans="1:14">
      <c r="A19" s="6" t="s">
        <v>62</v>
      </c>
      <c r="B19" s="3" t="s">
        <v>89</v>
      </c>
      <c r="C19" s="3" t="s">
        <v>81</v>
      </c>
      <c r="D19" s="3"/>
      <c r="E19" s="3" t="s">
        <v>82</v>
      </c>
      <c r="F19" s="3" t="s">
        <v>83</v>
      </c>
      <c r="G19" s="71"/>
      <c r="H19" s="71"/>
      <c r="I19" s="71"/>
      <c r="J19" s="67" t="s">
        <v>90</v>
      </c>
      <c r="K19" s="68"/>
      <c r="L19" s="68"/>
      <c r="M19" s="68"/>
      <c r="N19" s="69"/>
    </row>
    <row r="20" spans="1:14">
      <c r="A20" s="6" t="s">
        <v>62</v>
      </c>
      <c r="B20" s="3" t="s">
        <v>91</v>
      </c>
      <c r="C20" s="3" t="s">
        <v>81</v>
      </c>
      <c r="D20" s="3"/>
      <c r="E20" s="3" t="s">
        <v>82</v>
      </c>
      <c r="F20" s="3" t="s">
        <v>83</v>
      </c>
      <c r="G20" s="72"/>
      <c r="H20" s="73"/>
      <c r="I20" s="74"/>
      <c r="J20" s="67" t="s">
        <v>92</v>
      </c>
      <c r="K20" s="68"/>
      <c r="L20" s="68"/>
      <c r="M20" s="68"/>
      <c r="N20" s="69"/>
    </row>
    <row r="21" spans="1:14">
      <c r="A21" s="6" t="s">
        <v>62</v>
      </c>
      <c r="B21" s="3" t="s">
        <v>93</v>
      </c>
      <c r="C21" s="3" t="s">
        <v>81</v>
      </c>
      <c r="D21" s="3"/>
      <c r="E21" s="3" t="s">
        <v>82</v>
      </c>
      <c r="F21" s="3" t="s">
        <v>83</v>
      </c>
      <c r="G21" s="53"/>
      <c r="H21" s="108"/>
      <c r="I21" s="109"/>
      <c r="J21" s="53" t="s">
        <v>94</v>
      </c>
      <c r="K21" s="108"/>
      <c r="L21" s="108"/>
      <c r="M21" s="108"/>
      <c r="N21" s="109"/>
    </row>
    <row r="22" spans="1:14">
      <c r="A22" s="6" t="s">
        <v>62</v>
      </c>
      <c r="B22" s="3" t="s">
        <v>95</v>
      </c>
      <c r="C22" s="3" t="s">
        <v>81</v>
      </c>
      <c r="D22" s="3"/>
      <c r="E22" s="3" t="s">
        <v>82</v>
      </c>
      <c r="F22" s="3" t="s">
        <v>83</v>
      </c>
      <c r="G22" s="53"/>
      <c r="H22" s="108"/>
      <c r="I22" s="109"/>
      <c r="J22" s="53" t="s">
        <v>96</v>
      </c>
      <c r="K22" s="108"/>
      <c r="L22" s="108"/>
      <c r="M22" s="108"/>
      <c r="N22" s="109"/>
    </row>
    <row r="23" spans="1:14">
      <c r="A23" s="64" t="s">
        <v>97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62" t="s">
        <v>4</v>
      </c>
      <c r="B24" s="54" t="s">
        <v>73</v>
      </c>
      <c r="C24" s="54" t="s">
        <v>98</v>
      </c>
      <c r="D24" s="54" t="s">
        <v>99</v>
      </c>
      <c r="E24" s="54" t="s">
        <v>100</v>
      </c>
      <c r="F24" s="108"/>
      <c r="G24" s="108"/>
      <c r="H24" s="108"/>
      <c r="I24" s="108"/>
      <c r="J24" s="108"/>
      <c r="K24" s="108"/>
      <c r="L24" s="109"/>
      <c r="M24" s="54" t="s">
        <v>101</v>
      </c>
      <c r="N24" s="112"/>
    </row>
    <row r="25" spans="1:14">
      <c r="A25" s="113"/>
      <c r="B25" s="114"/>
      <c r="C25" s="114"/>
      <c r="D25" s="114"/>
      <c r="E25" s="11" t="s">
        <v>73</v>
      </c>
      <c r="F25" s="11" t="s">
        <v>74</v>
      </c>
      <c r="G25" s="11" t="s">
        <v>79</v>
      </c>
      <c r="H25" s="11" t="s">
        <v>102</v>
      </c>
      <c r="I25" s="11" t="s">
        <v>75</v>
      </c>
      <c r="J25" s="54" t="s">
        <v>99</v>
      </c>
      <c r="K25" s="108"/>
      <c r="L25" s="109"/>
      <c r="M25" s="115"/>
      <c r="N25" s="117"/>
    </row>
    <row r="26" spans="1:14">
      <c r="A26" s="6" t="s">
        <v>10</v>
      </c>
      <c r="B26" s="3"/>
      <c r="C26" s="3"/>
      <c r="D26" s="3" t="s">
        <v>103</v>
      </c>
      <c r="E26" s="3"/>
      <c r="F26" s="3"/>
      <c r="G26" s="3"/>
      <c r="H26" s="3"/>
      <c r="I26" s="3"/>
      <c r="J26" s="53"/>
      <c r="K26" s="108"/>
      <c r="L26" s="109"/>
      <c r="M26" s="63"/>
      <c r="N26" s="110"/>
    </row>
    <row r="27" spans="1:14">
      <c r="A27" s="61" t="s">
        <v>104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/>
    </row>
    <row r="28" spans="1:14">
      <c r="A28" s="65" t="s">
        <v>105</v>
      </c>
      <c r="B28" s="66" t="s">
        <v>73</v>
      </c>
      <c r="C28" s="66" t="s">
        <v>106</v>
      </c>
      <c r="D28" s="66" t="s">
        <v>107</v>
      </c>
      <c r="E28" s="66" t="s">
        <v>99</v>
      </c>
      <c r="F28" s="66" t="s">
        <v>100</v>
      </c>
      <c r="G28" s="108"/>
      <c r="H28" s="108"/>
      <c r="I28" s="108"/>
      <c r="J28" s="108"/>
      <c r="K28" s="109"/>
      <c r="L28" s="66" t="s">
        <v>108</v>
      </c>
      <c r="M28" s="109"/>
      <c r="N28" s="60" t="s">
        <v>101</v>
      </c>
    </row>
    <row r="29" spans="1:14">
      <c r="A29" s="113"/>
      <c r="B29" s="114"/>
      <c r="C29" s="114"/>
      <c r="D29" s="114"/>
      <c r="E29" s="114"/>
      <c r="F29" s="12" t="s">
        <v>73</v>
      </c>
      <c r="G29" s="12" t="s">
        <v>74</v>
      </c>
      <c r="H29" s="12" t="s">
        <v>79</v>
      </c>
      <c r="I29" s="12" t="s">
        <v>102</v>
      </c>
      <c r="J29" s="12" t="s">
        <v>75</v>
      </c>
      <c r="K29" s="12" t="s">
        <v>99</v>
      </c>
      <c r="L29" s="12" t="s">
        <v>74</v>
      </c>
      <c r="M29" s="12" t="s">
        <v>79</v>
      </c>
      <c r="N29" s="118"/>
    </row>
    <row r="30" spans="1:14">
      <c r="A30" s="6" t="s">
        <v>10</v>
      </c>
      <c r="B30" s="3"/>
      <c r="C30" s="3"/>
      <c r="D30" s="3"/>
      <c r="E30" s="3" t="s">
        <v>109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76" t="s">
        <v>110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9"/>
    </row>
    <row r="32" spans="1:14">
      <c r="A32" s="77" t="s">
        <v>105</v>
      </c>
      <c r="B32" s="70" t="s">
        <v>73</v>
      </c>
      <c r="C32" s="70" t="s">
        <v>111</v>
      </c>
      <c r="D32" s="70" t="s">
        <v>107</v>
      </c>
      <c r="E32" s="70" t="s">
        <v>99</v>
      </c>
      <c r="F32" s="70" t="s">
        <v>100</v>
      </c>
      <c r="G32" s="108"/>
      <c r="H32" s="108"/>
      <c r="I32" s="108"/>
      <c r="J32" s="108"/>
      <c r="K32" s="109"/>
      <c r="L32" s="70" t="s">
        <v>108</v>
      </c>
      <c r="M32" s="109"/>
      <c r="N32" s="75" t="s">
        <v>101</v>
      </c>
    </row>
    <row r="33" spans="1:14">
      <c r="A33" s="113"/>
      <c r="B33" s="114"/>
      <c r="C33" s="114"/>
      <c r="D33" s="114"/>
      <c r="E33" s="114"/>
      <c r="F33" s="13" t="s">
        <v>73</v>
      </c>
      <c r="G33" s="13" t="s">
        <v>74</v>
      </c>
      <c r="H33" s="13" t="s">
        <v>79</v>
      </c>
      <c r="I33" s="13" t="s">
        <v>102</v>
      </c>
      <c r="J33" s="13" t="s">
        <v>75</v>
      </c>
      <c r="K33" s="13" t="s">
        <v>99</v>
      </c>
      <c r="L33" s="13" t="s">
        <v>74</v>
      </c>
      <c r="M33" s="13" t="s">
        <v>79</v>
      </c>
      <c r="N33" s="118"/>
    </row>
    <row r="34" spans="1:14">
      <c r="A34" s="6" t="s">
        <v>62</v>
      </c>
      <c r="B34" s="3" t="s">
        <v>112</v>
      </c>
      <c r="C34" s="3" t="s">
        <v>83</v>
      </c>
      <c r="D34" s="3" t="s">
        <v>113</v>
      </c>
      <c r="E34" s="3" t="s">
        <v>114</v>
      </c>
      <c r="F34" s="3"/>
      <c r="G34" s="3"/>
      <c r="H34" s="3"/>
      <c r="I34" s="3"/>
      <c r="J34" s="3"/>
      <c r="K34" s="3"/>
      <c r="L34" s="3" t="s">
        <v>115</v>
      </c>
      <c r="M34" s="3"/>
      <c r="N34" s="7"/>
    </row>
    <row r="35" spans="1:14" ht="15.75" customHeight="1" thickBot="1">
      <c r="A35" s="14" t="s">
        <v>62</v>
      </c>
      <c r="B35" s="15" t="s">
        <v>116</v>
      </c>
      <c r="C35" s="3" t="s">
        <v>83</v>
      </c>
      <c r="D35" s="15" t="s">
        <v>113</v>
      </c>
      <c r="E35" s="15" t="s">
        <v>117</v>
      </c>
      <c r="F35" s="15"/>
      <c r="G35" s="15"/>
      <c r="H35" s="15"/>
      <c r="I35" s="15"/>
      <c r="J35" s="15"/>
      <c r="K35" s="15"/>
      <c r="L35" s="15" t="s">
        <v>118</v>
      </c>
      <c r="M35" s="15" t="s">
        <v>119</v>
      </c>
      <c r="N35" s="8"/>
    </row>
    <row r="42" spans="1:14">
      <c r="E42" s="2"/>
    </row>
    <row r="44" spans="1:14">
      <c r="E44" s="2"/>
    </row>
    <row r="48" spans="1:14">
      <c r="D48" s="2"/>
    </row>
  </sheetData>
  <mergeCells count="62">
    <mergeCell ref="E32:E33"/>
    <mergeCell ref="B32:B33"/>
    <mergeCell ref="L28:M28"/>
    <mergeCell ref="N32:N33"/>
    <mergeCell ref="B28:B29"/>
    <mergeCell ref="D28:D29"/>
    <mergeCell ref="D32:D33"/>
    <mergeCell ref="F32:K32"/>
    <mergeCell ref="A31:N31"/>
    <mergeCell ref="C32:C33"/>
    <mergeCell ref="A32:A33"/>
    <mergeCell ref="C24:C25"/>
    <mergeCell ref="D24:D25"/>
    <mergeCell ref="E14:E15"/>
    <mergeCell ref="G22:I22"/>
    <mergeCell ref="C28:C29"/>
    <mergeCell ref="F14:F15"/>
    <mergeCell ref="G18:I18"/>
    <mergeCell ref="G19:I19"/>
    <mergeCell ref="G20:I20"/>
    <mergeCell ref="C14:D14"/>
    <mergeCell ref="J16:N16"/>
    <mergeCell ref="J20:N20"/>
    <mergeCell ref="L32:M32"/>
    <mergeCell ref="M24:N25"/>
    <mergeCell ref="J21:N21"/>
    <mergeCell ref="J18:N18"/>
    <mergeCell ref="J19:N19"/>
    <mergeCell ref="J22:N22"/>
    <mergeCell ref="F28:K28"/>
    <mergeCell ref="B3:E3"/>
    <mergeCell ref="E24:L24"/>
    <mergeCell ref="B2:E2"/>
    <mergeCell ref="N28:N29"/>
    <mergeCell ref="A27:N27"/>
    <mergeCell ref="A24:A25"/>
    <mergeCell ref="B6:E6"/>
    <mergeCell ref="J26:L26"/>
    <mergeCell ref="B24:B25"/>
    <mergeCell ref="A23:N23"/>
    <mergeCell ref="A28:A29"/>
    <mergeCell ref="B14:B15"/>
    <mergeCell ref="M26:N26"/>
    <mergeCell ref="E28:E29"/>
    <mergeCell ref="B10:D10"/>
    <mergeCell ref="B11:D11"/>
    <mergeCell ref="A1:E1"/>
    <mergeCell ref="A13:N13"/>
    <mergeCell ref="B5:E5"/>
    <mergeCell ref="J25:L25"/>
    <mergeCell ref="G14:I15"/>
    <mergeCell ref="G17:I17"/>
    <mergeCell ref="B12:D12"/>
    <mergeCell ref="G16:I16"/>
    <mergeCell ref="B4:E4"/>
    <mergeCell ref="J14:N15"/>
    <mergeCell ref="A14:A15"/>
    <mergeCell ref="J17:N17"/>
    <mergeCell ref="A7:E7"/>
    <mergeCell ref="B9:D9"/>
    <mergeCell ref="B8:D8"/>
    <mergeCell ref="G21:I21"/>
  </mergeCells>
  <hyperlinks>
    <hyperlink ref="A1" location="'Clases'!A1" display="&lt;-Volver al inicio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A30" sqref="A3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42578125" style="1" customWidth="1"/>
    <col min="5" max="5" width="86.855468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Clases!A3</f>
        <v>Airline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Clases!C3</f>
        <v>Estructura que representa una aerolínea comercial registrada en el sistema, identificada por su nombre, código y estado de actividad.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48" t="s">
        <v>120</v>
      </c>
      <c r="B9" s="78" t="s">
        <v>69</v>
      </c>
      <c r="C9" s="79"/>
      <c r="D9" s="80"/>
      <c r="E9" s="45" t="str">
        <f>HYPERLINK("#'"&amp;F9&amp;"'!A1", F9)</f>
        <v>AirlineEmployee</v>
      </c>
      <c r="F9" s="46" t="s">
        <v>13</v>
      </c>
      <c r="G9" s="2"/>
      <c r="H9" s="2"/>
      <c r="I9" s="2"/>
      <c r="J9" s="2"/>
      <c r="K9" s="2"/>
      <c r="L9" s="2"/>
      <c r="M9" s="2"/>
      <c r="N9" s="2"/>
    </row>
    <row r="10" spans="1:14">
      <c r="A10" s="48" t="s">
        <v>120</v>
      </c>
      <c r="B10" s="78" t="s">
        <v>69</v>
      </c>
      <c r="C10" s="79"/>
      <c r="D10" s="80"/>
      <c r="E10" s="45" t="str">
        <f t="shared" ref="E10:E11" si="0">HYPERLINK("#'"&amp;F10&amp;"'!A1", F10)</f>
        <v>TailNumber</v>
      </c>
      <c r="F10" s="46" t="s">
        <v>25</v>
      </c>
      <c r="G10" s="2"/>
      <c r="H10" s="2"/>
      <c r="I10" s="2"/>
      <c r="J10" s="2"/>
      <c r="K10" s="2"/>
      <c r="L10" s="2"/>
      <c r="M10" s="2"/>
      <c r="N10" s="2"/>
    </row>
    <row r="11" spans="1:14">
      <c r="A11" s="48" t="s">
        <v>120</v>
      </c>
      <c r="B11" s="78" t="s">
        <v>69</v>
      </c>
      <c r="C11" s="79"/>
      <c r="D11" s="80"/>
      <c r="E11" s="45" t="str">
        <f t="shared" si="0"/>
        <v>AirlineRoute</v>
      </c>
      <c r="F11" s="44" t="s">
        <v>29</v>
      </c>
    </row>
    <row r="12" spans="1:14">
      <c r="A12" s="52" t="s">
        <v>72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7"/>
    </row>
    <row r="13" spans="1:14">
      <c r="A13" s="56" t="s">
        <v>4</v>
      </c>
      <c r="B13" s="55" t="s">
        <v>73</v>
      </c>
      <c r="C13" s="55" t="s">
        <v>74</v>
      </c>
      <c r="D13" s="109"/>
      <c r="E13" s="55" t="s">
        <v>75</v>
      </c>
      <c r="F13" s="55" t="s">
        <v>76</v>
      </c>
      <c r="G13" s="55" t="s">
        <v>77</v>
      </c>
      <c r="H13" s="111"/>
      <c r="I13" s="112"/>
      <c r="J13" s="55" t="s">
        <v>78</v>
      </c>
      <c r="K13" s="111"/>
      <c r="L13" s="111"/>
      <c r="M13" s="111"/>
      <c r="N13" s="112"/>
    </row>
    <row r="14" spans="1:14">
      <c r="A14" s="113"/>
      <c r="B14" s="114"/>
      <c r="C14" s="10" t="s">
        <v>74</v>
      </c>
      <c r="D14" s="10" t="s">
        <v>79</v>
      </c>
      <c r="E14" s="114"/>
      <c r="F14" s="114"/>
      <c r="G14" s="115"/>
      <c r="H14" s="116"/>
      <c r="I14" s="117"/>
      <c r="J14" s="115"/>
      <c r="K14" s="116"/>
      <c r="L14" s="116"/>
      <c r="M14" s="116"/>
      <c r="N14" s="117"/>
    </row>
    <row r="15" spans="1:14">
      <c r="A15" s="6" t="s">
        <v>62</v>
      </c>
      <c r="B15" s="3" t="s">
        <v>80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53" t="s">
        <v>121</v>
      </c>
      <c r="K15" s="108"/>
      <c r="L15" s="108"/>
      <c r="M15" s="108"/>
      <c r="N15" s="109"/>
    </row>
    <row r="16" spans="1:14">
      <c r="A16" s="6" t="s">
        <v>62</v>
      </c>
      <c r="B16" s="3" t="s">
        <v>122</v>
      </c>
      <c r="C16" s="3" t="s">
        <v>81</v>
      </c>
      <c r="D16" s="3"/>
      <c r="E16" s="3" t="s">
        <v>113</v>
      </c>
      <c r="F16" s="3" t="s">
        <v>83</v>
      </c>
      <c r="G16" s="53"/>
      <c r="H16" s="108"/>
      <c r="I16" s="109"/>
      <c r="J16" s="53" t="s">
        <v>123</v>
      </c>
      <c r="K16" s="108"/>
      <c r="L16" s="108"/>
      <c r="M16" s="108"/>
      <c r="N16" s="109"/>
    </row>
    <row r="17" spans="1:14">
      <c r="A17" s="6" t="s">
        <v>62</v>
      </c>
      <c r="B17" s="3" t="s">
        <v>124</v>
      </c>
      <c r="C17" s="3" t="s">
        <v>81</v>
      </c>
      <c r="D17" s="3"/>
      <c r="E17" s="3" t="s">
        <v>113</v>
      </c>
      <c r="F17" s="3" t="s">
        <v>83</v>
      </c>
      <c r="G17" s="53"/>
      <c r="H17" s="108"/>
      <c r="I17" s="109"/>
      <c r="J17" s="53" t="s">
        <v>125</v>
      </c>
      <c r="K17" s="108"/>
      <c r="L17" s="108"/>
      <c r="M17" s="108"/>
      <c r="N17" s="109"/>
    </row>
    <row r="18" spans="1:14">
      <c r="A18" s="6" t="s">
        <v>62</v>
      </c>
      <c r="B18" s="3" t="s">
        <v>126</v>
      </c>
      <c r="C18" s="3" t="s">
        <v>81</v>
      </c>
      <c r="D18" s="3"/>
      <c r="E18" s="3" t="s">
        <v>113</v>
      </c>
      <c r="F18" s="3" t="s">
        <v>83</v>
      </c>
      <c r="G18" s="53"/>
      <c r="H18" s="108"/>
      <c r="I18" s="109"/>
      <c r="J18" s="53" t="s">
        <v>127</v>
      </c>
      <c r="K18" s="108"/>
      <c r="L18" s="108"/>
      <c r="M18" s="108"/>
      <c r="N18" s="109"/>
    </row>
    <row r="19" spans="1:14">
      <c r="A19" s="64" t="s">
        <v>97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/>
    </row>
    <row r="20" spans="1:14">
      <c r="A20" s="62" t="s">
        <v>4</v>
      </c>
      <c r="B20" s="54" t="s">
        <v>73</v>
      </c>
      <c r="C20" s="54" t="s">
        <v>98</v>
      </c>
      <c r="D20" s="54" t="s">
        <v>99</v>
      </c>
      <c r="E20" s="54" t="s">
        <v>100</v>
      </c>
      <c r="F20" s="108"/>
      <c r="G20" s="108"/>
      <c r="H20" s="108"/>
      <c r="I20" s="108"/>
      <c r="J20" s="108"/>
      <c r="K20" s="108"/>
      <c r="L20" s="109"/>
      <c r="M20" s="54" t="s">
        <v>101</v>
      </c>
      <c r="N20" s="112"/>
    </row>
    <row r="21" spans="1:14">
      <c r="A21" s="113"/>
      <c r="B21" s="114"/>
      <c r="C21" s="114"/>
      <c r="D21" s="114"/>
      <c r="E21" s="11" t="s">
        <v>73</v>
      </c>
      <c r="F21" s="11" t="s">
        <v>74</v>
      </c>
      <c r="G21" s="11" t="s">
        <v>79</v>
      </c>
      <c r="H21" s="11" t="s">
        <v>102</v>
      </c>
      <c r="I21" s="11" t="s">
        <v>75</v>
      </c>
      <c r="J21" s="54" t="s">
        <v>99</v>
      </c>
      <c r="K21" s="108"/>
      <c r="L21" s="109"/>
      <c r="M21" s="115"/>
      <c r="N21" s="117"/>
    </row>
    <row r="22" spans="1:14">
      <c r="A22" s="6" t="s">
        <v>10</v>
      </c>
      <c r="B22" s="3"/>
      <c r="C22" s="3"/>
      <c r="D22" s="3" t="s">
        <v>103</v>
      </c>
      <c r="E22" s="3"/>
      <c r="F22" s="3"/>
      <c r="G22" s="3"/>
      <c r="H22" s="3"/>
      <c r="I22" s="3"/>
      <c r="J22" s="53"/>
      <c r="K22" s="108"/>
      <c r="L22" s="109"/>
      <c r="M22" s="63"/>
      <c r="N22" s="110"/>
    </row>
    <row r="23" spans="1:14">
      <c r="A23" s="61" t="s">
        <v>104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65" t="s">
        <v>105</v>
      </c>
      <c r="B24" s="66" t="s">
        <v>73</v>
      </c>
      <c r="C24" s="66" t="s">
        <v>106</v>
      </c>
      <c r="D24" s="66" t="s">
        <v>107</v>
      </c>
      <c r="E24" s="66" t="s">
        <v>99</v>
      </c>
      <c r="F24" s="66" t="s">
        <v>100</v>
      </c>
      <c r="G24" s="108"/>
      <c r="H24" s="108"/>
      <c r="I24" s="108"/>
      <c r="J24" s="108"/>
      <c r="K24" s="109"/>
      <c r="L24" s="66" t="s">
        <v>108</v>
      </c>
      <c r="M24" s="109"/>
      <c r="N24" s="60" t="s">
        <v>101</v>
      </c>
    </row>
    <row r="25" spans="1:14">
      <c r="A25" s="113"/>
      <c r="B25" s="114"/>
      <c r="C25" s="114"/>
      <c r="D25" s="114"/>
      <c r="E25" s="114"/>
      <c r="F25" s="12" t="s">
        <v>73</v>
      </c>
      <c r="G25" s="12" t="s">
        <v>74</v>
      </c>
      <c r="H25" s="12" t="s">
        <v>79</v>
      </c>
      <c r="I25" s="12" t="s">
        <v>102</v>
      </c>
      <c r="J25" s="12" t="s">
        <v>75</v>
      </c>
      <c r="K25" s="12" t="s">
        <v>99</v>
      </c>
      <c r="L25" s="12" t="s">
        <v>74</v>
      </c>
      <c r="M25" s="12" t="s">
        <v>79</v>
      </c>
      <c r="N25" s="118"/>
    </row>
    <row r="26" spans="1:14">
      <c r="A26" s="6" t="s">
        <v>10</v>
      </c>
      <c r="B26" s="3"/>
      <c r="C26" s="3"/>
      <c r="D26" s="3"/>
      <c r="E26" s="3" t="s">
        <v>109</v>
      </c>
      <c r="F26" s="3"/>
      <c r="G26" s="3"/>
      <c r="H26" s="3"/>
      <c r="I26" s="3"/>
      <c r="J26" s="3"/>
      <c r="K26" s="3"/>
      <c r="L26" s="3"/>
      <c r="M26" s="3"/>
      <c r="N26" s="7"/>
    </row>
    <row r="27" spans="1:14">
      <c r="A27" s="76" t="s">
        <v>110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/>
    </row>
    <row r="28" spans="1:14">
      <c r="A28" s="77" t="s">
        <v>4</v>
      </c>
      <c r="B28" s="70" t="s">
        <v>73</v>
      </c>
      <c r="C28" s="70" t="s">
        <v>111</v>
      </c>
      <c r="D28" s="70" t="s">
        <v>107</v>
      </c>
      <c r="E28" s="70" t="s">
        <v>99</v>
      </c>
      <c r="F28" s="70" t="s">
        <v>100</v>
      </c>
      <c r="G28" s="108"/>
      <c r="H28" s="108"/>
      <c r="I28" s="108"/>
      <c r="J28" s="108"/>
      <c r="K28" s="109"/>
      <c r="L28" s="70" t="s">
        <v>108</v>
      </c>
      <c r="M28" s="109"/>
      <c r="N28" s="75" t="s">
        <v>101</v>
      </c>
    </row>
    <row r="29" spans="1:14">
      <c r="A29" s="113"/>
      <c r="B29" s="114"/>
      <c r="C29" s="114"/>
      <c r="D29" s="114"/>
      <c r="E29" s="114"/>
      <c r="F29" s="13" t="s">
        <v>73</v>
      </c>
      <c r="G29" s="13" t="s">
        <v>74</v>
      </c>
      <c r="H29" s="13" t="s">
        <v>79</v>
      </c>
      <c r="I29" s="13" t="s">
        <v>102</v>
      </c>
      <c r="J29" s="13" t="s">
        <v>75</v>
      </c>
      <c r="K29" s="13" t="s">
        <v>99</v>
      </c>
      <c r="L29" s="13" t="s">
        <v>74</v>
      </c>
      <c r="M29" s="13" t="s">
        <v>79</v>
      </c>
      <c r="N29" s="118"/>
    </row>
    <row r="30" spans="1:14">
      <c r="A30" s="6" t="s">
        <v>62</v>
      </c>
      <c r="B30" s="3" t="s">
        <v>116</v>
      </c>
      <c r="C30" s="3" t="s">
        <v>83</v>
      </c>
      <c r="D30" s="3" t="s">
        <v>113</v>
      </c>
      <c r="E30" s="3" t="s">
        <v>128</v>
      </c>
      <c r="F30" s="3"/>
      <c r="G30" s="3"/>
      <c r="H30" s="3"/>
      <c r="I30" s="3"/>
      <c r="J30" s="3"/>
      <c r="K30" s="3"/>
      <c r="L30" s="3" t="s">
        <v>118</v>
      </c>
      <c r="M30" s="3" t="s">
        <v>119</v>
      </c>
      <c r="N30" s="7"/>
    </row>
  </sheetData>
  <mergeCells count="55">
    <mergeCell ref="A28:A29"/>
    <mergeCell ref="B2:E2"/>
    <mergeCell ref="N24:N25"/>
    <mergeCell ref="A23:N23"/>
    <mergeCell ref="A20:A21"/>
    <mergeCell ref="D28:D29"/>
    <mergeCell ref="F28:K28"/>
    <mergeCell ref="C20:C21"/>
    <mergeCell ref="D20:D21"/>
    <mergeCell ref="E13:E14"/>
    <mergeCell ref="G18:I18"/>
    <mergeCell ref="C24:C25"/>
    <mergeCell ref="A27:N27"/>
    <mergeCell ref="C28:C29"/>
    <mergeCell ref="J15:N15"/>
    <mergeCell ref="E28:E29"/>
    <mergeCell ref="A1:E1"/>
    <mergeCell ref="A12:N12"/>
    <mergeCell ref="B5:E5"/>
    <mergeCell ref="J21:L21"/>
    <mergeCell ref="G13:I14"/>
    <mergeCell ref="G16:I16"/>
    <mergeCell ref="G15:I15"/>
    <mergeCell ref="B4:E4"/>
    <mergeCell ref="J13:N14"/>
    <mergeCell ref="A13:A14"/>
    <mergeCell ref="J16:N16"/>
    <mergeCell ref="A7:E7"/>
    <mergeCell ref="B11:D11"/>
    <mergeCell ref="B3:E3"/>
    <mergeCell ref="E20:L20"/>
    <mergeCell ref="B6:E6"/>
    <mergeCell ref="B28:B29"/>
    <mergeCell ref="L24:M24"/>
    <mergeCell ref="N28:N29"/>
    <mergeCell ref="B24:B25"/>
    <mergeCell ref="J22:L22"/>
    <mergeCell ref="D24:D25"/>
    <mergeCell ref="L28:M28"/>
    <mergeCell ref="B13:B14"/>
    <mergeCell ref="B8:D8"/>
    <mergeCell ref="G17:I17"/>
    <mergeCell ref="M22:N22"/>
    <mergeCell ref="E24:E25"/>
    <mergeCell ref="B9:D9"/>
    <mergeCell ref="B10:D10"/>
    <mergeCell ref="F13:F14"/>
    <mergeCell ref="C13:D13"/>
    <mergeCell ref="J17:N17"/>
    <mergeCell ref="B20:B21"/>
    <mergeCell ref="A19:N19"/>
    <mergeCell ref="J18:N18"/>
    <mergeCell ref="F24:K24"/>
    <mergeCell ref="A24:A25"/>
    <mergeCell ref="M20:N21"/>
  </mergeCells>
  <hyperlinks>
    <hyperlink ref="A1" location="'Clases'!A1" display="&lt;-Volver al inicio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2"/>
  <sheetViews>
    <sheetView workbookViewId="0">
      <selection activeCell="B9" sqref="B9:D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2" style="1" customWidth="1"/>
    <col min="5" max="5" width="82.140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Clases!A4</f>
        <v>AirlineEmployee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Clases!C4</f>
        <v>Estructura que representa la vinculación laboral de un empleado con una aerolínea, incluyendo las fechas de inicio y fin de la relación y su estado actual.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48" t="s">
        <v>70</v>
      </c>
      <c r="B9" s="81" t="s">
        <v>69</v>
      </c>
      <c r="C9" s="82"/>
      <c r="D9" s="83"/>
      <c r="E9" s="45" t="str">
        <f>HYPERLINK("#'"&amp;F9&amp;"'!A1", F9)</f>
        <v>Employee</v>
      </c>
      <c r="F9" s="46" t="s">
        <v>6</v>
      </c>
      <c r="G9" s="2"/>
      <c r="H9" s="2"/>
      <c r="I9" s="2"/>
      <c r="J9" s="2"/>
      <c r="K9" s="2"/>
      <c r="L9" s="2"/>
      <c r="M9" s="2"/>
      <c r="N9" s="2"/>
    </row>
    <row r="10" spans="1:14">
      <c r="A10" s="48" t="s">
        <v>70</v>
      </c>
      <c r="B10" s="53" t="s">
        <v>69</v>
      </c>
      <c r="C10" s="108"/>
      <c r="D10" s="109"/>
      <c r="E10" s="45" t="str">
        <f>HYPERLINK("#'"&amp;F10&amp;"'!A1", F10)</f>
        <v>Airline</v>
      </c>
      <c r="F10" s="44" t="s">
        <v>11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80</v>
      </c>
      <c r="C14" s="3" t="s">
        <v>81</v>
      </c>
      <c r="D14" s="3"/>
      <c r="E14" s="3" t="s">
        <v>113</v>
      </c>
      <c r="F14" s="3" t="s">
        <v>129</v>
      </c>
      <c r="G14" s="53"/>
      <c r="H14" s="108"/>
      <c r="I14" s="109"/>
      <c r="J14" s="53" t="s">
        <v>130</v>
      </c>
      <c r="K14" s="108"/>
      <c r="L14" s="108"/>
      <c r="M14" s="108"/>
      <c r="N14" s="109"/>
    </row>
    <row r="15" spans="1:14">
      <c r="A15" s="6" t="s">
        <v>62</v>
      </c>
      <c r="B15" s="3" t="s">
        <v>131</v>
      </c>
      <c r="C15" s="3" t="s">
        <v>81</v>
      </c>
      <c r="D15" s="3"/>
      <c r="E15" s="3" t="s">
        <v>113</v>
      </c>
      <c r="F15" s="3" t="s">
        <v>129</v>
      </c>
      <c r="G15" s="84"/>
      <c r="H15" s="85"/>
      <c r="I15" s="86"/>
      <c r="J15" s="67" t="s">
        <v>132</v>
      </c>
      <c r="K15" s="68"/>
      <c r="L15" s="68"/>
      <c r="M15" s="68"/>
      <c r="N15" s="69"/>
    </row>
    <row r="16" spans="1:14">
      <c r="A16" s="6" t="s">
        <v>62</v>
      </c>
      <c r="B16" s="3" t="s">
        <v>133</v>
      </c>
      <c r="C16" s="3" t="s">
        <v>81</v>
      </c>
      <c r="D16" s="3"/>
      <c r="E16" s="3" t="s">
        <v>113</v>
      </c>
      <c r="F16" s="3" t="s">
        <v>129</v>
      </c>
      <c r="G16" s="84"/>
      <c r="H16" s="85"/>
      <c r="I16" s="86"/>
      <c r="J16" s="67" t="s">
        <v>134</v>
      </c>
      <c r="K16" s="68"/>
      <c r="L16" s="68"/>
      <c r="M16" s="68"/>
      <c r="N16" s="69"/>
    </row>
    <row r="17" spans="1:14">
      <c r="A17" s="6" t="s">
        <v>62</v>
      </c>
      <c r="B17" s="3" t="s">
        <v>135</v>
      </c>
      <c r="C17" s="3" t="s">
        <v>136</v>
      </c>
      <c r="D17" s="3"/>
      <c r="E17" s="3" t="s">
        <v>113</v>
      </c>
      <c r="F17" s="3" t="s">
        <v>129</v>
      </c>
      <c r="G17" s="84"/>
      <c r="H17" s="85"/>
      <c r="I17" s="86"/>
      <c r="J17" s="67" t="s">
        <v>137</v>
      </c>
      <c r="K17" s="68"/>
      <c r="L17" s="68"/>
      <c r="M17" s="68"/>
      <c r="N17" s="69"/>
    </row>
    <row r="18" spans="1:14">
      <c r="A18" s="6" t="s">
        <v>62</v>
      </c>
      <c r="B18" s="3" t="s">
        <v>138</v>
      </c>
      <c r="C18" s="3" t="s">
        <v>136</v>
      </c>
      <c r="D18" s="3"/>
      <c r="E18" s="3" t="s">
        <v>113</v>
      </c>
      <c r="F18" s="3" t="s">
        <v>129</v>
      </c>
      <c r="G18" s="53"/>
      <c r="H18" s="108"/>
      <c r="I18" s="109"/>
      <c r="J18" s="53" t="s">
        <v>139</v>
      </c>
      <c r="K18" s="108"/>
      <c r="L18" s="108"/>
      <c r="M18" s="108"/>
      <c r="N18" s="109"/>
    </row>
    <row r="19" spans="1:14">
      <c r="A19" s="6" t="s">
        <v>62</v>
      </c>
      <c r="B19" s="3" t="s">
        <v>140</v>
      </c>
      <c r="C19" s="3" t="s">
        <v>141</v>
      </c>
      <c r="D19" s="3"/>
      <c r="E19" s="3" t="s">
        <v>113</v>
      </c>
      <c r="F19" s="3" t="s">
        <v>129</v>
      </c>
      <c r="G19" s="53"/>
      <c r="H19" s="108"/>
      <c r="I19" s="109"/>
      <c r="J19" s="53" t="s">
        <v>142</v>
      </c>
      <c r="K19" s="108"/>
      <c r="L19" s="108"/>
      <c r="M19" s="108"/>
      <c r="N19" s="109"/>
    </row>
    <row r="20" spans="1:14">
      <c r="A20" s="64" t="s">
        <v>97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/>
    </row>
    <row r="21" spans="1:14">
      <c r="A21" s="62" t="s">
        <v>4</v>
      </c>
      <c r="B21" s="54" t="s">
        <v>73</v>
      </c>
      <c r="C21" s="54" t="s">
        <v>98</v>
      </c>
      <c r="D21" s="54" t="s">
        <v>99</v>
      </c>
      <c r="E21" s="54" t="s">
        <v>100</v>
      </c>
      <c r="F21" s="108"/>
      <c r="G21" s="108"/>
      <c r="H21" s="108"/>
      <c r="I21" s="108"/>
      <c r="J21" s="108"/>
      <c r="K21" s="108"/>
      <c r="L21" s="109"/>
      <c r="M21" s="54" t="s">
        <v>101</v>
      </c>
      <c r="N21" s="112"/>
    </row>
    <row r="22" spans="1:14">
      <c r="A22" s="113"/>
      <c r="B22" s="114"/>
      <c r="C22" s="114"/>
      <c r="D22" s="114"/>
      <c r="E22" s="11" t="s">
        <v>73</v>
      </c>
      <c r="F22" s="11" t="s">
        <v>74</v>
      </c>
      <c r="G22" s="11" t="s">
        <v>79</v>
      </c>
      <c r="H22" s="11" t="s">
        <v>102</v>
      </c>
      <c r="I22" s="11" t="s">
        <v>75</v>
      </c>
      <c r="J22" s="54" t="s">
        <v>99</v>
      </c>
      <c r="K22" s="108"/>
      <c r="L22" s="109"/>
      <c r="M22" s="115"/>
      <c r="N22" s="117"/>
    </row>
    <row r="23" spans="1:14">
      <c r="A23" s="6" t="s">
        <v>10</v>
      </c>
      <c r="B23" s="3"/>
      <c r="C23" s="3"/>
      <c r="D23" s="3" t="s">
        <v>103</v>
      </c>
      <c r="E23" s="3"/>
      <c r="F23" s="3"/>
      <c r="G23" s="3"/>
      <c r="H23" s="3"/>
      <c r="I23" s="3"/>
      <c r="J23" s="53"/>
      <c r="K23" s="108"/>
      <c r="L23" s="109"/>
      <c r="M23" s="63"/>
      <c r="N23" s="110"/>
    </row>
    <row r="24" spans="1:14">
      <c r="A24" s="61" t="s">
        <v>104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/>
    </row>
    <row r="25" spans="1:14">
      <c r="A25" s="65" t="s">
        <v>4</v>
      </c>
      <c r="B25" s="66" t="s">
        <v>73</v>
      </c>
      <c r="C25" s="66" t="s">
        <v>106</v>
      </c>
      <c r="D25" s="66" t="s">
        <v>107</v>
      </c>
      <c r="E25" s="66" t="s">
        <v>99</v>
      </c>
      <c r="F25" s="66" t="s">
        <v>100</v>
      </c>
      <c r="G25" s="108"/>
      <c r="H25" s="108"/>
      <c r="I25" s="108"/>
      <c r="J25" s="108"/>
      <c r="K25" s="109"/>
      <c r="L25" s="66" t="s">
        <v>108</v>
      </c>
      <c r="M25" s="109"/>
      <c r="N25" s="60" t="s">
        <v>101</v>
      </c>
    </row>
    <row r="26" spans="1:14">
      <c r="A26" s="113"/>
      <c r="B26" s="114"/>
      <c r="C26" s="114"/>
      <c r="D26" s="114"/>
      <c r="E26" s="114"/>
      <c r="F26" s="12" t="s">
        <v>73</v>
      </c>
      <c r="G26" s="12" t="s">
        <v>74</v>
      </c>
      <c r="H26" s="12" t="s">
        <v>79</v>
      </c>
      <c r="I26" s="12" t="s">
        <v>102</v>
      </c>
      <c r="J26" s="12" t="s">
        <v>75</v>
      </c>
      <c r="K26" s="12" t="s">
        <v>99</v>
      </c>
      <c r="L26" s="12" t="s">
        <v>74</v>
      </c>
      <c r="M26" s="12" t="s">
        <v>79</v>
      </c>
      <c r="N26" s="118"/>
    </row>
    <row r="27" spans="1:14">
      <c r="A27" s="6" t="s">
        <v>10</v>
      </c>
      <c r="B27" s="3"/>
      <c r="C27" s="3"/>
      <c r="D27" s="3"/>
      <c r="E27" s="3" t="s">
        <v>109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76" t="s">
        <v>110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9"/>
    </row>
    <row r="29" spans="1:14">
      <c r="A29" s="77" t="s">
        <v>4</v>
      </c>
      <c r="B29" s="70" t="s">
        <v>73</v>
      </c>
      <c r="C29" s="70" t="s">
        <v>111</v>
      </c>
      <c r="D29" s="70" t="s">
        <v>107</v>
      </c>
      <c r="E29" s="70" t="s">
        <v>99</v>
      </c>
      <c r="F29" s="70" t="s">
        <v>100</v>
      </c>
      <c r="G29" s="108"/>
      <c r="H29" s="108"/>
      <c r="I29" s="108"/>
      <c r="J29" s="108"/>
      <c r="K29" s="109"/>
      <c r="L29" s="70" t="s">
        <v>108</v>
      </c>
      <c r="M29" s="109"/>
      <c r="N29" s="75" t="s">
        <v>101</v>
      </c>
    </row>
    <row r="30" spans="1:14">
      <c r="A30" s="113"/>
      <c r="B30" s="114"/>
      <c r="C30" s="114"/>
      <c r="D30" s="114"/>
      <c r="E30" s="114"/>
      <c r="F30" s="13" t="s">
        <v>73</v>
      </c>
      <c r="G30" s="13" t="s">
        <v>74</v>
      </c>
      <c r="H30" s="13" t="s">
        <v>79</v>
      </c>
      <c r="I30" s="13" t="s">
        <v>102</v>
      </c>
      <c r="J30" s="13" t="s">
        <v>75</v>
      </c>
      <c r="K30" s="13" t="s">
        <v>99</v>
      </c>
      <c r="L30" s="13" t="s">
        <v>74</v>
      </c>
      <c r="M30" s="13" t="s">
        <v>79</v>
      </c>
      <c r="N30" s="118"/>
    </row>
    <row r="31" spans="1:14">
      <c r="A31" s="6" t="s">
        <v>62</v>
      </c>
      <c r="B31" s="3" t="s">
        <v>112</v>
      </c>
      <c r="C31" s="3" t="s">
        <v>83</v>
      </c>
      <c r="D31" s="3" t="s">
        <v>82</v>
      </c>
      <c r="E31" s="3" t="s">
        <v>143</v>
      </c>
      <c r="F31" s="3"/>
      <c r="G31" s="3"/>
      <c r="H31" s="3"/>
      <c r="I31" s="3"/>
      <c r="J31" s="3"/>
      <c r="K31" s="3"/>
      <c r="L31" s="3" t="s">
        <v>115</v>
      </c>
      <c r="M31" s="3"/>
      <c r="N31" s="7"/>
    </row>
    <row r="32" spans="1:14" ht="15.75" customHeight="1" thickBot="1">
      <c r="A32" s="14" t="s">
        <v>62</v>
      </c>
      <c r="B32" s="15" t="s">
        <v>116</v>
      </c>
      <c r="C32" s="15" t="s">
        <v>83</v>
      </c>
      <c r="D32" s="15" t="s">
        <v>82</v>
      </c>
      <c r="E32" s="15" t="s">
        <v>144</v>
      </c>
      <c r="F32" s="15"/>
      <c r="G32" s="15"/>
      <c r="H32" s="15"/>
      <c r="I32" s="15"/>
      <c r="J32" s="15"/>
      <c r="K32" s="15"/>
      <c r="L32" s="15" t="s">
        <v>118</v>
      </c>
      <c r="M32" s="15" t="s">
        <v>119</v>
      </c>
      <c r="N32" s="8"/>
    </row>
  </sheetData>
  <mergeCells count="58">
    <mergeCell ref="B2:E2"/>
    <mergeCell ref="N25:N26"/>
    <mergeCell ref="A24:N24"/>
    <mergeCell ref="A21:A22"/>
    <mergeCell ref="D29:D30"/>
    <mergeCell ref="F29:K29"/>
    <mergeCell ref="C21:C22"/>
    <mergeCell ref="D21:D22"/>
    <mergeCell ref="E12:E13"/>
    <mergeCell ref="G19:I19"/>
    <mergeCell ref="C25:C26"/>
    <mergeCell ref="A28:N28"/>
    <mergeCell ref="C29:C30"/>
    <mergeCell ref="J14:N14"/>
    <mergeCell ref="E29:E30"/>
    <mergeCell ref="A1:E1"/>
    <mergeCell ref="A11:N11"/>
    <mergeCell ref="B5:E5"/>
    <mergeCell ref="J22:L22"/>
    <mergeCell ref="G12:I13"/>
    <mergeCell ref="G15:I15"/>
    <mergeCell ref="G14:I14"/>
    <mergeCell ref="B4:E4"/>
    <mergeCell ref="J12:N13"/>
    <mergeCell ref="A12:A13"/>
    <mergeCell ref="J15:N15"/>
    <mergeCell ref="A7:E7"/>
    <mergeCell ref="B10:D10"/>
    <mergeCell ref="B3:E3"/>
    <mergeCell ref="E21:L21"/>
    <mergeCell ref="B6:E6"/>
    <mergeCell ref="F25:K25"/>
    <mergeCell ref="A25:A26"/>
    <mergeCell ref="M21:N22"/>
    <mergeCell ref="B29:B30"/>
    <mergeCell ref="L25:M25"/>
    <mergeCell ref="N29:N30"/>
    <mergeCell ref="B25:B26"/>
    <mergeCell ref="J23:L23"/>
    <mergeCell ref="D25:D26"/>
    <mergeCell ref="L29:M29"/>
    <mergeCell ref="A29:A30"/>
    <mergeCell ref="B12:B13"/>
    <mergeCell ref="B8:D8"/>
    <mergeCell ref="G18:I18"/>
    <mergeCell ref="M23:N23"/>
    <mergeCell ref="E25:E26"/>
    <mergeCell ref="B9:D9"/>
    <mergeCell ref="G16:I16"/>
    <mergeCell ref="G17:I17"/>
    <mergeCell ref="J16:N16"/>
    <mergeCell ref="J17:N17"/>
    <mergeCell ref="F12:F13"/>
    <mergeCell ref="C12:D12"/>
    <mergeCell ref="J18:N18"/>
    <mergeCell ref="B21:B22"/>
    <mergeCell ref="A20:N20"/>
    <mergeCell ref="J19:N19"/>
  </mergeCells>
  <hyperlinks>
    <hyperlink ref="A1" location="'Clases'!A1" display="&lt;-Volver al inicio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workbookViewId="0">
      <selection activeCell="B9" sqref="B9:D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85546875" style="1" customWidth="1"/>
    <col min="5" max="5" width="95.855468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Clases!A5</f>
        <v>Airport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Clases!C5</f>
        <v>Estructura que representa un aeropuerto con su nombre, código de identificación, tipo de operación y si se encuentra activo o inactivo.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120</v>
      </c>
      <c r="B9" s="53" t="s">
        <v>145</v>
      </c>
      <c r="C9" s="108"/>
      <c r="D9" s="109"/>
      <c r="E9" s="42" t="str">
        <f>HYPERLINK("#'"&amp;F9&amp;"'!A1", F9)</f>
        <v>Route</v>
      </c>
      <c r="F9" s="44" t="s">
        <v>27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80</v>
      </c>
      <c r="C13" s="3" t="s">
        <v>81</v>
      </c>
      <c r="D13" s="3"/>
      <c r="E13" s="3" t="s">
        <v>113</v>
      </c>
      <c r="F13" s="3" t="s">
        <v>129</v>
      </c>
      <c r="G13" s="53"/>
      <c r="H13" s="108"/>
      <c r="I13" s="109"/>
      <c r="J13" s="53" t="s">
        <v>146</v>
      </c>
      <c r="K13" s="108"/>
      <c r="L13" s="108"/>
      <c r="M13" s="108"/>
      <c r="N13" s="109"/>
    </row>
    <row r="14" spans="1:14">
      <c r="A14" s="6" t="s">
        <v>62</v>
      </c>
      <c r="B14" s="3" t="s">
        <v>85</v>
      </c>
      <c r="C14" s="3" t="s">
        <v>81</v>
      </c>
      <c r="D14" s="3"/>
      <c r="E14" s="3" t="s">
        <v>113</v>
      </c>
      <c r="F14" s="3" t="s">
        <v>129</v>
      </c>
      <c r="G14" s="53"/>
      <c r="H14" s="108"/>
      <c r="I14" s="109"/>
      <c r="J14" s="53" t="s">
        <v>147</v>
      </c>
      <c r="K14" s="108"/>
      <c r="L14" s="108"/>
      <c r="M14" s="108"/>
      <c r="N14" s="109"/>
    </row>
    <row r="15" spans="1:14">
      <c r="A15" s="6" t="s">
        <v>62</v>
      </c>
      <c r="B15" s="3" t="s">
        <v>148</v>
      </c>
      <c r="C15" s="3" t="s">
        <v>81</v>
      </c>
      <c r="D15" s="3"/>
      <c r="E15" s="3" t="s">
        <v>113</v>
      </c>
      <c r="F15" s="3" t="s">
        <v>129</v>
      </c>
      <c r="G15" s="84"/>
      <c r="H15" s="85"/>
      <c r="I15" s="86"/>
      <c r="J15" s="67" t="s">
        <v>149</v>
      </c>
      <c r="K15" s="68"/>
      <c r="L15" s="68"/>
      <c r="M15" s="68"/>
      <c r="N15" s="69"/>
    </row>
    <row r="16" spans="1:14">
      <c r="A16" s="6" t="s">
        <v>62</v>
      </c>
      <c r="B16" s="3" t="s">
        <v>126</v>
      </c>
      <c r="C16" s="3" t="s">
        <v>141</v>
      </c>
      <c r="D16" s="3"/>
      <c r="E16" s="3" t="s">
        <v>113</v>
      </c>
      <c r="F16" s="3" t="s">
        <v>129</v>
      </c>
      <c r="G16" s="53"/>
      <c r="H16" s="108"/>
      <c r="I16" s="109"/>
      <c r="J16" s="53" t="s">
        <v>150</v>
      </c>
      <c r="K16" s="108"/>
      <c r="L16" s="108"/>
      <c r="M16" s="108"/>
      <c r="N16" s="109"/>
    </row>
    <row r="17" spans="1:14">
      <c r="A17" s="6" t="s">
        <v>62</v>
      </c>
      <c r="B17" s="3" t="s">
        <v>151</v>
      </c>
      <c r="C17" s="3" t="s">
        <v>81</v>
      </c>
      <c r="D17" s="3"/>
      <c r="E17" s="3" t="s">
        <v>113</v>
      </c>
      <c r="F17" s="3" t="s">
        <v>129</v>
      </c>
      <c r="G17" s="53"/>
      <c r="H17" s="108"/>
      <c r="I17" s="109"/>
      <c r="J17" s="53" t="s">
        <v>152</v>
      </c>
      <c r="K17" s="108"/>
      <c r="L17" s="108"/>
      <c r="M17" s="108"/>
      <c r="N17" s="109"/>
    </row>
    <row r="18" spans="1:14">
      <c r="A18" s="64" t="s">
        <v>97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/>
    </row>
    <row r="19" spans="1:14">
      <c r="A19" s="62" t="s">
        <v>4</v>
      </c>
      <c r="B19" s="54" t="s">
        <v>73</v>
      </c>
      <c r="C19" s="54" t="s">
        <v>98</v>
      </c>
      <c r="D19" s="54" t="s">
        <v>99</v>
      </c>
      <c r="E19" s="54" t="s">
        <v>100</v>
      </c>
      <c r="F19" s="108"/>
      <c r="G19" s="108"/>
      <c r="H19" s="108"/>
      <c r="I19" s="108"/>
      <c r="J19" s="108"/>
      <c r="K19" s="108"/>
      <c r="L19" s="109"/>
      <c r="M19" s="54" t="s">
        <v>101</v>
      </c>
      <c r="N19" s="112"/>
    </row>
    <row r="20" spans="1:14">
      <c r="A20" s="113"/>
      <c r="B20" s="114"/>
      <c r="C20" s="114"/>
      <c r="D20" s="114"/>
      <c r="E20" s="11" t="s">
        <v>73</v>
      </c>
      <c r="F20" s="11" t="s">
        <v>74</v>
      </c>
      <c r="G20" s="11" t="s">
        <v>79</v>
      </c>
      <c r="H20" s="11" t="s">
        <v>102</v>
      </c>
      <c r="I20" s="11" t="s">
        <v>75</v>
      </c>
      <c r="J20" s="54" t="s">
        <v>99</v>
      </c>
      <c r="K20" s="108"/>
      <c r="L20" s="109"/>
      <c r="M20" s="115"/>
      <c r="N20" s="117"/>
    </row>
    <row r="21" spans="1:14">
      <c r="A21" s="6" t="s">
        <v>10</v>
      </c>
      <c r="B21" s="3"/>
      <c r="C21" s="3"/>
      <c r="D21" s="3" t="s">
        <v>103</v>
      </c>
      <c r="E21" s="3"/>
      <c r="F21" s="3"/>
      <c r="G21" s="3"/>
      <c r="H21" s="3"/>
      <c r="I21" s="3"/>
      <c r="J21" s="53"/>
      <c r="K21" s="108"/>
      <c r="L21" s="109"/>
      <c r="M21" s="63"/>
      <c r="N21" s="110"/>
    </row>
    <row r="22" spans="1:14">
      <c r="A22" s="61" t="s">
        <v>104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9"/>
    </row>
    <row r="23" spans="1:14">
      <c r="A23" s="65" t="s">
        <v>4</v>
      </c>
      <c r="B23" s="66" t="s">
        <v>73</v>
      </c>
      <c r="C23" s="66" t="s">
        <v>106</v>
      </c>
      <c r="D23" s="66" t="s">
        <v>107</v>
      </c>
      <c r="E23" s="66" t="s">
        <v>99</v>
      </c>
      <c r="F23" s="66" t="s">
        <v>100</v>
      </c>
      <c r="G23" s="108"/>
      <c r="H23" s="108"/>
      <c r="I23" s="108"/>
      <c r="J23" s="108"/>
      <c r="K23" s="109"/>
      <c r="L23" s="66" t="s">
        <v>108</v>
      </c>
      <c r="M23" s="109"/>
      <c r="N23" s="60" t="s">
        <v>101</v>
      </c>
    </row>
    <row r="24" spans="1:14">
      <c r="A24" s="113"/>
      <c r="B24" s="114"/>
      <c r="C24" s="114"/>
      <c r="D24" s="114"/>
      <c r="E24" s="114"/>
      <c r="F24" s="12" t="s">
        <v>73</v>
      </c>
      <c r="G24" s="12" t="s">
        <v>74</v>
      </c>
      <c r="H24" s="12" t="s">
        <v>79</v>
      </c>
      <c r="I24" s="12" t="s">
        <v>102</v>
      </c>
      <c r="J24" s="12" t="s">
        <v>75</v>
      </c>
      <c r="K24" s="12" t="s">
        <v>99</v>
      </c>
      <c r="L24" s="12" t="s">
        <v>74</v>
      </c>
      <c r="M24" s="12" t="s">
        <v>79</v>
      </c>
      <c r="N24" s="118"/>
    </row>
    <row r="25" spans="1:14">
      <c r="A25" s="6" t="s">
        <v>10</v>
      </c>
      <c r="B25" s="3"/>
      <c r="C25" s="3"/>
      <c r="D25" s="3"/>
      <c r="E25" s="3" t="s">
        <v>109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76" t="s">
        <v>110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9"/>
    </row>
    <row r="27" spans="1:14">
      <c r="A27" s="77" t="s">
        <v>4</v>
      </c>
      <c r="B27" s="70" t="s">
        <v>73</v>
      </c>
      <c r="C27" s="70" t="s">
        <v>111</v>
      </c>
      <c r="D27" s="70" t="s">
        <v>107</v>
      </c>
      <c r="E27" s="70" t="s">
        <v>99</v>
      </c>
      <c r="F27" s="70" t="s">
        <v>100</v>
      </c>
      <c r="G27" s="108"/>
      <c r="H27" s="108"/>
      <c r="I27" s="108"/>
      <c r="J27" s="108"/>
      <c r="K27" s="109"/>
      <c r="L27" s="70" t="s">
        <v>108</v>
      </c>
      <c r="M27" s="109"/>
      <c r="N27" s="75" t="s">
        <v>101</v>
      </c>
    </row>
    <row r="28" spans="1:14">
      <c r="A28" s="113"/>
      <c r="B28" s="114"/>
      <c r="C28" s="114"/>
      <c r="D28" s="114"/>
      <c r="E28" s="114"/>
      <c r="F28" s="13" t="s">
        <v>73</v>
      </c>
      <c r="G28" s="13" t="s">
        <v>74</v>
      </c>
      <c r="H28" s="13" t="s">
        <v>79</v>
      </c>
      <c r="I28" s="13" t="s">
        <v>102</v>
      </c>
      <c r="J28" s="13" t="s">
        <v>75</v>
      </c>
      <c r="K28" s="13" t="s">
        <v>99</v>
      </c>
      <c r="L28" s="13" t="s">
        <v>74</v>
      </c>
      <c r="M28" s="13" t="s">
        <v>79</v>
      </c>
      <c r="N28" s="118"/>
    </row>
    <row r="29" spans="1:14">
      <c r="A29" s="6" t="s">
        <v>62</v>
      </c>
      <c r="B29" s="3" t="s">
        <v>116</v>
      </c>
      <c r="C29" s="3" t="s">
        <v>83</v>
      </c>
      <c r="D29" s="3" t="s">
        <v>82</v>
      </c>
      <c r="E29" s="3" t="s">
        <v>153</v>
      </c>
      <c r="F29" s="3"/>
      <c r="G29" s="3"/>
      <c r="H29" s="3"/>
      <c r="I29" s="3"/>
      <c r="J29" s="3"/>
      <c r="K29" s="3"/>
      <c r="L29" s="3" t="s">
        <v>118</v>
      </c>
      <c r="M29" s="3" t="s">
        <v>154</v>
      </c>
      <c r="N29" s="7"/>
    </row>
    <row r="30" spans="1:14" ht="15.75" customHeight="1" thickBot="1">
      <c r="A30" s="14" t="s">
        <v>62</v>
      </c>
      <c r="B30" s="15" t="s">
        <v>155</v>
      </c>
      <c r="C30" s="15" t="s">
        <v>83</v>
      </c>
      <c r="D30" s="15" t="s">
        <v>82</v>
      </c>
      <c r="E30" s="15" t="s">
        <v>156</v>
      </c>
      <c r="F30" s="15"/>
      <c r="G30" s="15"/>
      <c r="H30" s="15"/>
      <c r="I30" s="15"/>
      <c r="J30" s="15"/>
      <c r="K30" s="15"/>
      <c r="L30" s="15" t="s">
        <v>141</v>
      </c>
      <c r="M30" s="15"/>
      <c r="N30" s="8"/>
    </row>
  </sheetData>
  <mergeCells count="55">
    <mergeCell ref="A27:A28"/>
    <mergeCell ref="B2:E2"/>
    <mergeCell ref="N23:N24"/>
    <mergeCell ref="A22:N22"/>
    <mergeCell ref="A19:A20"/>
    <mergeCell ref="D27:D28"/>
    <mergeCell ref="F27:K27"/>
    <mergeCell ref="C19:C20"/>
    <mergeCell ref="D19:D20"/>
    <mergeCell ref="E11:E12"/>
    <mergeCell ref="G17:I17"/>
    <mergeCell ref="C23:C24"/>
    <mergeCell ref="A26:N26"/>
    <mergeCell ref="C27:C28"/>
    <mergeCell ref="J13:N13"/>
    <mergeCell ref="E27:E28"/>
    <mergeCell ref="A1:E1"/>
    <mergeCell ref="A10:N10"/>
    <mergeCell ref="B5:E5"/>
    <mergeCell ref="J20:L20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19:L19"/>
    <mergeCell ref="B6:E6"/>
    <mergeCell ref="B27:B28"/>
    <mergeCell ref="L23:M23"/>
    <mergeCell ref="N27:N28"/>
    <mergeCell ref="B23:B24"/>
    <mergeCell ref="J21:L21"/>
    <mergeCell ref="D23:D24"/>
    <mergeCell ref="L27:M27"/>
    <mergeCell ref="B11:B12"/>
    <mergeCell ref="B8:D8"/>
    <mergeCell ref="G16:I16"/>
    <mergeCell ref="M21:N21"/>
    <mergeCell ref="E23:E24"/>
    <mergeCell ref="J15:N15"/>
    <mergeCell ref="G15:I15"/>
    <mergeCell ref="F11:F12"/>
    <mergeCell ref="C11:D11"/>
    <mergeCell ref="J16:N16"/>
    <mergeCell ref="B19:B20"/>
    <mergeCell ref="A18:N18"/>
    <mergeCell ref="J17:N17"/>
    <mergeCell ref="F23:K23"/>
    <mergeCell ref="A23:A24"/>
    <mergeCell ref="M19:N20"/>
  </mergeCells>
  <hyperlinks>
    <hyperlink ref="A1" location="'Clases'!A1" display="&lt;-Volver al inicio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workbookViewId="0">
      <selection activeCell="B30" sqref="B3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42578125" style="1" customWidth="1"/>
    <col min="5" max="5" width="64.855468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Clases!A6</f>
        <v>Manufacturer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Clases!C6</f>
        <v xml:space="preserve">Estructura que representa un fabricante de aeronaves, como Boeing, Airbus 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120</v>
      </c>
      <c r="B9" s="53" t="s">
        <v>145</v>
      </c>
      <c r="C9" s="108"/>
      <c r="D9" s="109"/>
      <c r="E9" s="42" t="str">
        <f>HYPERLINK("#'"&amp;F9&amp;"'!A1", F9)</f>
        <v>AircraftFamily</v>
      </c>
      <c r="F9" s="44" t="s">
        <v>21</v>
      </c>
    </row>
    <row r="10" spans="1:14" ht="15.75" customHeight="1" thickBot="1">
      <c r="A10" s="9" t="s">
        <v>120</v>
      </c>
      <c r="B10" s="87" t="s">
        <v>145</v>
      </c>
      <c r="C10" s="111"/>
      <c r="D10" s="112"/>
      <c r="E10" s="42" t="str">
        <f>HYPERLINK("#'"&amp;F10&amp;"'!A1", F10)</f>
        <v>AircraftModel</v>
      </c>
      <c r="F10" s="44" t="s">
        <v>23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80</v>
      </c>
      <c r="C14" s="3" t="s">
        <v>81</v>
      </c>
      <c r="D14" s="3"/>
      <c r="E14" s="3" t="s">
        <v>113</v>
      </c>
      <c r="F14" s="3" t="s">
        <v>83</v>
      </c>
      <c r="G14" s="53"/>
      <c r="H14" s="108"/>
      <c r="I14" s="109"/>
      <c r="J14" s="53" t="s">
        <v>157</v>
      </c>
      <c r="K14" s="108"/>
      <c r="L14" s="108"/>
      <c r="M14" s="108"/>
      <c r="N14" s="109"/>
    </row>
    <row r="15" spans="1:14">
      <c r="A15" s="6" t="s">
        <v>62</v>
      </c>
      <c r="B15" s="3" t="s">
        <v>85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53" t="s">
        <v>158</v>
      </c>
      <c r="K15" s="108"/>
      <c r="L15" s="108"/>
      <c r="M15" s="108"/>
      <c r="N15" s="109"/>
    </row>
    <row r="16" spans="1:14">
      <c r="A16" s="64" t="s">
        <v>97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9"/>
    </row>
    <row r="17" spans="1:14">
      <c r="A17" s="62" t="s">
        <v>4</v>
      </c>
      <c r="B17" s="54" t="s">
        <v>73</v>
      </c>
      <c r="C17" s="54" t="s">
        <v>98</v>
      </c>
      <c r="D17" s="54" t="s">
        <v>99</v>
      </c>
      <c r="E17" s="54" t="s">
        <v>100</v>
      </c>
      <c r="F17" s="108"/>
      <c r="G17" s="108"/>
      <c r="H17" s="108"/>
      <c r="I17" s="108"/>
      <c r="J17" s="108"/>
      <c r="K17" s="108"/>
      <c r="L17" s="109"/>
      <c r="M17" s="54" t="s">
        <v>159</v>
      </c>
      <c r="N17" s="112"/>
    </row>
    <row r="18" spans="1:14">
      <c r="A18" s="113"/>
      <c r="B18" s="114"/>
      <c r="C18" s="114"/>
      <c r="D18" s="114"/>
      <c r="E18" s="11" t="s">
        <v>73</v>
      </c>
      <c r="F18" s="11" t="s">
        <v>74</v>
      </c>
      <c r="G18" s="11" t="s">
        <v>79</v>
      </c>
      <c r="H18" s="11" t="s">
        <v>102</v>
      </c>
      <c r="I18" s="11" t="s">
        <v>75</v>
      </c>
      <c r="J18" s="54" t="s">
        <v>99</v>
      </c>
      <c r="K18" s="108"/>
      <c r="L18" s="109"/>
      <c r="M18" s="115"/>
      <c r="N18" s="117"/>
    </row>
    <row r="19" spans="1:14">
      <c r="A19" s="6" t="s">
        <v>10</v>
      </c>
      <c r="B19" s="3"/>
      <c r="C19" s="3"/>
      <c r="D19" s="3" t="s">
        <v>103</v>
      </c>
      <c r="E19" s="3"/>
      <c r="F19" s="3"/>
      <c r="G19" s="3"/>
      <c r="H19" s="3"/>
      <c r="I19" s="3"/>
      <c r="J19" s="53"/>
      <c r="K19" s="108"/>
      <c r="L19" s="109"/>
      <c r="M19" s="63"/>
      <c r="N19" s="110"/>
    </row>
    <row r="20" spans="1:14">
      <c r="A20" s="61" t="s">
        <v>104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/>
    </row>
    <row r="21" spans="1:14">
      <c r="A21" s="65" t="s">
        <v>4</v>
      </c>
      <c r="B21" s="66" t="s">
        <v>73</v>
      </c>
      <c r="C21" s="66" t="s">
        <v>106</v>
      </c>
      <c r="D21" s="66" t="s">
        <v>107</v>
      </c>
      <c r="E21" s="66" t="s">
        <v>99</v>
      </c>
      <c r="F21" s="66" t="s">
        <v>100</v>
      </c>
      <c r="G21" s="108"/>
      <c r="H21" s="108"/>
      <c r="I21" s="108"/>
      <c r="J21" s="108"/>
      <c r="K21" s="109"/>
      <c r="L21" s="66" t="s">
        <v>108</v>
      </c>
      <c r="M21" s="109"/>
      <c r="N21" s="60" t="s">
        <v>101</v>
      </c>
    </row>
    <row r="22" spans="1:14">
      <c r="A22" s="113"/>
      <c r="B22" s="114"/>
      <c r="C22" s="114"/>
      <c r="D22" s="114"/>
      <c r="E22" s="114"/>
      <c r="F22" s="12" t="s">
        <v>73</v>
      </c>
      <c r="G22" s="12" t="s">
        <v>74</v>
      </c>
      <c r="H22" s="12" t="s">
        <v>79</v>
      </c>
      <c r="I22" s="12" t="s">
        <v>102</v>
      </c>
      <c r="J22" s="12" t="s">
        <v>75</v>
      </c>
      <c r="K22" s="12" t="s">
        <v>99</v>
      </c>
      <c r="L22" s="12" t="s">
        <v>74</v>
      </c>
      <c r="M22" s="12" t="s">
        <v>79</v>
      </c>
      <c r="N22" s="118"/>
    </row>
    <row r="23" spans="1:14">
      <c r="A23" s="6" t="s">
        <v>10</v>
      </c>
      <c r="B23" s="3"/>
      <c r="C23" s="3"/>
      <c r="D23" s="3"/>
      <c r="E23" s="3" t="s">
        <v>109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76" t="s">
        <v>110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/>
    </row>
    <row r="25" spans="1:14">
      <c r="A25" s="77" t="s">
        <v>4</v>
      </c>
      <c r="B25" s="70" t="s">
        <v>73</v>
      </c>
      <c r="C25" s="70" t="s">
        <v>111</v>
      </c>
      <c r="D25" s="70" t="s">
        <v>107</v>
      </c>
      <c r="E25" s="70" t="s">
        <v>99</v>
      </c>
      <c r="F25" s="70" t="s">
        <v>100</v>
      </c>
      <c r="G25" s="108"/>
      <c r="H25" s="108"/>
      <c r="I25" s="108"/>
      <c r="J25" s="108"/>
      <c r="K25" s="109"/>
      <c r="L25" s="70" t="s">
        <v>108</v>
      </c>
      <c r="M25" s="109"/>
      <c r="N25" s="75" t="s">
        <v>101</v>
      </c>
    </row>
    <row r="26" spans="1:14">
      <c r="A26" s="113"/>
      <c r="B26" s="114"/>
      <c r="C26" s="114"/>
      <c r="D26" s="114"/>
      <c r="E26" s="114"/>
      <c r="F26" s="13" t="s">
        <v>73</v>
      </c>
      <c r="G26" s="13" t="s">
        <v>74</v>
      </c>
      <c r="H26" s="13" t="s">
        <v>79</v>
      </c>
      <c r="I26" s="13" t="s">
        <v>102</v>
      </c>
      <c r="J26" s="13" t="s">
        <v>75</v>
      </c>
      <c r="K26" s="13" t="s">
        <v>99</v>
      </c>
      <c r="L26" s="13" t="s">
        <v>74</v>
      </c>
      <c r="M26" s="13" t="s">
        <v>79</v>
      </c>
      <c r="N26" s="118"/>
    </row>
    <row r="27" spans="1:14">
      <c r="A27" s="6" t="s">
        <v>62</v>
      </c>
      <c r="B27" s="3" t="s">
        <v>116</v>
      </c>
      <c r="C27" s="3" t="s">
        <v>83</v>
      </c>
      <c r="D27" s="3" t="s">
        <v>82</v>
      </c>
      <c r="E27" s="3" t="s">
        <v>160</v>
      </c>
      <c r="F27" s="3"/>
      <c r="G27" s="3"/>
      <c r="H27" s="3"/>
      <c r="I27" s="3"/>
      <c r="J27" s="3"/>
      <c r="K27" s="3"/>
      <c r="L27" s="3" t="s">
        <v>118</v>
      </c>
      <c r="M27" s="3" t="s">
        <v>119</v>
      </c>
      <c r="N27" s="7"/>
    </row>
  </sheetData>
  <mergeCells count="50">
    <mergeCell ref="B2:E2"/>
    <mergeCell ref="N21:N22"/>
    <mergeCell ref="A20:N20"/>
    <mergeCell ref="A17:A18"/>
    <mergeCell ref="D25:D26"/>
    <mergeCell ref="F25:K25"/>
    <mergeCell ref="C17:C18"/>
    <mergeCell ref="D17:D18"/>
    <mergeCell ref="E12:E13"/>
    <mergeCell ref="C21:C22"/>
    <mergeCell ref="A24:N24"/>
    <mergeCell ref="B6:E6"/>
    <mergeCell ref="F12:F13"/>
    <mergeCell ref="C25:C26"/>
    <mergeCell ref="J14:N14"/>
    <mergeCell ref="E25:E26"/>
    <mergeCell ref="A1:E1"/>
    <mergeCell ref="A11:N11"/>
    <mergeCell ref="B5:E5"/>
    <mergeCell ref="J18:L18"/>
    <mergeCell ref="G12:I13"/>
    <mergeCell ref="G15:I15"/>
    <mergeCell ref="B10:D10"/>
    <mergeCell ref="G14:I14"/>
    <mergeCell ref="B4:E4"/>
    <mergeCell ref="J12:N13"/>
    <mergeCell ref="A12:A13"/>
    <mergeCell ref="J15:N15"/>
    <mergeCell ref="A7:E7"/>
    <mergeCell ref="B9:D9"/>
    <mergeCell ref="B3:E3"/>
    <mergeCell ref="E17:L17"/>
    <mergeCell ref="L25:M25"/>
    <mergeCell ref="M17:N18"/>
    <mergeCell ref="A25:A26"/>
    <mergeCell ref="B25:B26"/>
    <mergeCell ref="L21:M21"/>
    <mergeCell ref="N25:N26"/>
    <mergeCell ref="B21:B22"/>
    <mergeCell ref="J19:L19"/>
    <mergeCell ref="D21:D22"/>
    <mergeCell ref="C12:D12"/>
    <mergeCell ref="F21:K21"/>
    <mergeCell ref="A21:A22"/>
    <mergeCell ref="B12:B13"/>
    <mergeCell ref="B8:D8"/>
    <mergeCell ref="E21:E22"/>
    <mergeCell ref="B17:B18"/>
    <mergeCell ref="A16:N16"/>
    <mergeCell ref="M19:N19"/>
  </mergeCells>
  <hyperlinks>
    <hyperlink ref="A1" location="'Clases'!A1" display="&lt;-Volver al inicio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workbookViewId="0">
      <selection activeCell="F9" sqref="F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42578125" style="1" customWidth="1"/>
    <col min="5" max="5" width="70.57031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Clases!A7</f>
        <v>Engine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Clases!C7</f>
        <v>Estructura que representa un tipo de motor utilizado en aeronaves como CFM,IAE.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68</v>
      </c>
      <c r="B9" s="53" t="s">
        <v>69</v>
      </c>
      <c r="C9" s="108"/>
      <c r="D9" s="109"/>
      <c r="E9" s="42" t="str">
        <f>HYPERLINK("#'"&amp;F9&amp;"'!A1", F9)</f>
        <v>AircraftModel</v>
      </c>
      <c r="F9" s="44" t="s">
        <v>23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80</v>
      </c>
      <c r="C13" s="3" t="s">
        <v>81</v>
      </c>
      <c r="D13" s="3"/>
      <c r="E13" s="3" t="s">
        <v>113</v>
      </c>
      <c r="F13" s="3" t="s">
        <v>83</v>
      </c>
      <c r="G13" s="53"/>
      <c r="H13" s="108"/>
      <c r="I13" s="109"/>
      <c r="J13" s="53" t="s">
        <v>161</v>
      </c>
      <c r="K13" s="108"/>
      <c r="L13" s="108"/>
      <c r="M13" s="108"/>
      <c r="N13" s="109"/>
    </row>
    <row r="14" spans="1:14">
      <c r="A14" s="6" t="s">
        <v>62</v>
      </c>
      <c r="B14" s="3" t="s">
        <v>85</v>
      </c>
      <c r="C14" s="3" t="s">
        <v>81</v>
      </c>
      <c r="D14" s="3"/>
      <c r="E14" s="3" t="s">
        <v>113</v>
      </c>
      <c r="F14" s="3" t="s">
        <v>83</v>
      </c>
      <c r="G14" s="53"/>
      <c r="H14" s="108"/>
      <c r="I14" s="109"/>
      <c r="J14" s="53" t="s">
        <v>162</v>
      </c>
      <c r="K14" s="108"/>
      <c r="L14" s="108"/>
      <c r="M14" s="108"/>
      <c r="N14" s="109"/>
    </row>
    <row r="15" spans="1:14">
      <c r="A15" s="64" t="s">
        <v>97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/>
    </row>
    <row r="16" spans="1:14">
      <c r="A16" s="62" t="s">
        <v>4</v>
      </c>
      <c r="B16" s="54" t="s">
        <v>73</v>
      </c>
      <c r="C16" s="54" t="s">
        <v>98</v>
      </c>
      <c r="D16" s="54" t="s">
        <v>99</v>
      </c>
      <c r="E16" s="54" t="s">
        <v>100</v>
      </c>
      <c r="F16" s="108"/>
      <c r="G16" s="108"/>
      <c r="H16" s="108"/>
      <c r="I16" s="108"/>
      <c r="J16" s="108"/>
      <c r="K16" s="108"/>
      <c r="L16" s="109"/>
      <c r="M16" s="54" t="s">
        <v>101</v>
      </c>
      <c r="N16" s="112"/>
    </row>
    <row r="17" spans="1:14">
      <c r="A17" s="113"/>
      <c r="B17" s="114"/>
      <c r="C17" s="114"/>
      <c r="D17" s="114"/>
      <c r="E17" s="11" t="s">
        <v>73</v>
      </c>
      <c r="F17" s="11" t="s">
        <v>74</v>
      </c>
      <c r="G17" s="11" t="s">
        <v>79</v>
      </c>
      <c r="H17" s="11" t="s">
        <v>102</v>
      </c>
      <c r="I17" s="11" t="s">
        <v>75</v>
      </c>
      <c r="J17" s="54" t="s">
        <v>99</v>
      </c>
      <c r="K17" s="108"/>
      <c r="L17" s="109"/>
      <c r="M17" s="115"/>
      <c r="N17" s="117"/>
    </row>
    <row r="18" spans="1:14">
      <c r="A18" s="6" t="s">
        <v>10</v>
      </c>
      <c r="B18" s="3"/>
      <c r="C18" s="3"/>
      <c r="D18" s="3" t="s">
        <v>103</v>
      </c>
      <c r="E18" s="3"/>
      <c r="F18" s="3"/>
      <c r="G18" s="3"/>
      <c r="H18" s="3"/>
      <c r="I18" s="3"/>
      <c r="J18" s="53"/>
      <c r="K18" s="108"/>
      <c r="L18" s="109"/>
      <c r="M18" s="63"/>
      <c r="N18" s="110"/>
    </row>
    <row r="19" spans="1:14">
      <c r="A19" s="61" t="s">
        <v>104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/>
    </row>
    <row r="20" spans="1:14">
      <c r="A20" s="65" t="s">
        <v>4</v>
      </c>
      <c r="B20" s="66" t="s">
        <v>73</v>
      </c>
      <c r="C20" s="66" t="s">
        <v>106</v>
      </c>
      <c r="D20" s="66" t="s">
        <v>107</v>
      </c>
      <c r="E20" s="66" t="s">
        <v>99</v>
      </c>
      <c r="F20" s="66" t="s">
        <v>100</v>
      </c>
      <c r="G20" s="108"/>
      <c r="H20" s="108"/>
      <c r="I20" s="108"/>
      <c r="J20" s="108"/>
      <c r="K20" s="109"/>
      <c r="L20" s="66" t="s">
        <v>108</v>
      </c>
      <c r="M20" s="109"/>
      <c r="N20" s="60" t="s">
        <v>101</v>
      </c>
    </row>
    <row r="21" spans="1:14">
      <c r="A21" s="113"/>
      <c r="B21" s="114"/>
      <c r="C21" s="114"/>
      <c r="D21" s="114"/>
      <c r="E21" s="114"/>
      <c r="F21" s="12" t="s">
        <v>73</v>
      </c>
      <c r="G21" s="12" t="s">
        <v>74</v>
      </c>
      <c r="H21" s="12" t="s">
        <v>79</v>
      </c>
      <c r="I21" s="12" t="s">
        <v>102</v>
      </c>
      <c r="J21" s="12" t="s">
        <v>75</v>
      </c>
      <c r="K21" s="12" t="s">
        <v>99</v>
      </c>
      <c r="L21" s="12" t="s">
        <v>74</v>
      </c>
      <c r="M21" s="12" t="s">
        <v>79</v>
      </c>
      <c r="N21" s="118"/>
    </row>
    <row r="22" spans="1:14">
      <c r="A22" s="6" t="s">
        <v>10</v>
      </c>
      <c r="B22" s="3"/>
      <c r="C22" s="3"/>
      <c r="D22" s="3"/>
      <c r="E22" s="3" t="s">
        <v>109</v>
      </c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76" t="s">
        <v>110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77" t="s">
        <v>4</v>
      </c>
      <c r="B24" s="70" t="s">
        <v>73</v>
      </c>
      <c r="C24" s="70" t="s">
        <v>111</v>
      </c>
      <c r="D24" s="70" t="s">
        <v>107</v>
      </c>
      <c r="E24" s="70" t="s">
        <v>99</v>
      </c>
      <c r="F24" s="70" t="s">
        <v>100</v>
      </c>
      <c r="G24" s="108"/>
      <c r="H24" s="108"/>
      <c r="I24" s="108"/>
      <c r="J24" s="108"/>
      <c r="K24" s="109"/>
      <c r="L24" s="70" t="s">
        <v>108</v>
      </c>
      <c r="M24" s="109"/>
      <c r="N24" s="75" t="s">
        <v>101</v>
      </c>
    </row>
    <row r="25" spans="1:14">
      <c r="A25" s="113"/>
      <c r="B25" s="114"/>
      <c r="C25" s="114"/>
      <c r="D25" s="114"/>
      <c r="E25" s="114"/>
      <c r="F25" s="13" t="s">
        <v>73</v>
      </c>
      <c r="G25" s="13" t="s">
        <v>74</v>
      </c>
      <c r="H25" s="13" t="s">
        <v>79</v>
      </c>
      <c r="I25" s="13" t="s">
        <v>102</v>
      </c>
      <c r="J25" s="13" t="s">
        <v>75</v>
      </c>
      <c r="K25" s="13" t="s">
        <v>99</v>
      </c>
      <c r="L25" s="13" t="s">
        <v>74</v>
      </c>
      <c r="M25" s="13" t="s">
        <v>79</v>
      </c>
      <c r="N25" s="118"/>
    </row>
    <row r="26" spans="1:14">
      <c r="A26" s="6" t="s">
        <v>62</v>
      </c>
      <c r="B26" s="3" t="s">
        <v>116</v>
      </c>
      <c r="C26" s="3" t="s">
        <v>129</v>
      </c>
      <c r="D26" s="3" t="s">
        <v>82</v>
      </c>
      <c r="E26" s="3" t="s">
        <v>163</v>
      </c>
      <c r="F26" s="3"/>
      <c r="G26" s="3"/>
      <c r="H26" s="3"/>
      <c r="I26" s="3"/>
      <c r="J26" s="3"/>
      <c r="K26" s="3"/>
      <c r="L26" s="3" t="s">
        <v>118</v>
      </c>
      <c r="M26" s="3" t="s">
        <v>119</v>
      </c>
      <c r="N26" s="7"/>
    </row>
  </sheetData>
  <mergeCells count="49">
    <mergeCell ref="E24:E25"/>
    <mergeCell ref="B24:B25"/>
    <mergeCell ref="B3:E3"/>
    <mergeCell ref="E16:L16"/>
    <mergeCell ref="B6:E6"/>
    <mergeCell ref="A24:A25"/>
    <mergeCell ref="B2:E2"/>
    <mergeCell ref="A19:N19"/>
    <mergeCell ref="A16:A17"/>
    <mergeCell ref="D24:D25"/>
    <mergeCell ref="F24:K24"/>
    <mergeCell ref="C16:C17"/>
    <mergeCell ref="D16:D17"/>
    <mergeCell ref="E11:E12"/>
    <mergeCell ref="C20:C21"/>
    <mergeCell ref="A23:N23"/>
    <mergeCell ref="F11:F12"/>
    <mergeCell ref="C24:C25"/>
    <mergeCell ref="N24:N25"/>
    <mergeCell ref="B20:B21"/>
    <mergeCell ref="D20:D21"/>
    <mergeCell ref="L24:M24"/>
    <mergeCell ref="A1:E1"/>
    <mergeCell ref="A10:N10"/>
    <mergeCell ref="B5:E5"/>
    <mergeCell ref="J17:L17"/>
    <mergeCell ref="G11:I12"/>
    <mergeCell ref="G14:I14"/>
    <mergeCell ref="G13:I13"/>
    <mergeCell ref="B4:E4"/>
    <mergeCell ref="J11:N12"/>
    <mergeCell ref="A11:A12"/>
    <mergeCell ref="J14:N14"/>
    <mergeCell ref="A7:E7"/>
    <mergeCell ref="C11:D11"/>
    <mergeCell ref="F20:K20"/>
    <mergeCell ref="A20:A21"/>
    <mergeCell ref="B11:B12"/>
    <mergeCell ref="B8:D8"/>
    <mergeCell ref="E20:E21"/>
    <mergeCell ref="J13:N13"/>
    <mergeCell ref="J18:L18"/>
    <mergeCell ref="B16:B17"/>
    <mergeCell ref="A15:N15"/>
    <mergeCell ref="M18:N18"/>
    <mergeCell ref="M16:N17"/>
    <mergeCell ref="L20:M20"/>
    <mergeCell ref="B9:D9"/>
    <mergeCell ref="N20:N21"/>
  </mergeCells>
  <hyperlinks>
    <hyperlink ref="A1" location="'Clases'!A1" display="&lt;-Volver al inicio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"/>
  <sheetViews>
    <sheetView workbookViewId="0">
      <selection activeCell="A28" sqref="A28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28515625" style="1" customWidth="1"/>
    <col min="5" max="5" width="89.855468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Clases!A8</f>
        <v>AircraftFamily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Clases!C8</f>
        <v>Estructura que representa una familia de aeronaves agrupada por fabricante, como las familias Airbus  A320.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145</v>
      </c>
      <c r="C9" s="108"/>
      <c r="D9" s="109"/>
      <c r="E9" s="42" t="str">
        <f>HYPERLINK("#'"&amp;F9&amp;"'!A1", F9)</f>
        <v>Manufacturer</v>
      </c>
      <c r="F9" s="44" t="s">
        <v>17</v>
      </c>
    </row>
    <row r="10" spans="1:14" ht="15.75" customHeight="1" thickBot="1">
      <c r="A10" s="9" t="s">
        <v>120</v>
      </c>
      <c r="B10" s="87" t="s">
        <v>145</v>
      </c>
      <c r="C10" s="111"/>
      <c r="D10" s="112"/>
      <c r="E10" s="42" t="str">
        <f>HYPERLINK("#'"&amp;F10&amp;"'!A1", F10)</f>
        <v>AircraftModel</v>
      </c>
      <c r="F10" s="44" t="s">
        <v>23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165</v>
      </c>
      <c r="C14" s="3" t="s">
        <v>81</v>
      </c>
      <c r="D14" s="3"/>
      <c r="E14" s="3" t="s">
        <v>113</v>
      </c>
      <c r="F14" s="3" t="s">
        <v>83</v>
      </c>
      <c r="G14" s="53"/>
      <c r="H14" s="108"/>
      <c r="I14" s="109"/>
      <c r="J14" s="53" t="s">
        <v>166</v>
      </c>
      <c r="K14" s="108"/>
      <c r="L14" s="108"/>
      <c r="M14" s="108"/>
      <c r="N14" s="109"/>
    </row>
    <row r="15" spans="1:14">
      <c r="A15" s="6" t="s">
        <v>62</v>
      </c>
      <c r="B15" s="3" t="s">
        <v>17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53" t="s">
        <v>167</v>
      </c>
      <c r="K15" s="108"/>
      <c r="L15" s="108"/>
      <c r="M15" s="108"/>
      <c r="N15" s="109"/>
    </row>
    <row r="16" spans="1:14">
      <c r="A16" s="64" t="s">
        <v>97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9"/>
    </row>
    <row r="17" spans="1:14">
      <c r="A17" s="62" t="s">
        <v>4</v>
      </c>
      <c r="B17" s="54" t="s">
        <v>73</v>
      </c>
      <c r="C17" s="54" t="s">
        <v>98</v>
      </c>
      <c r="D17" s="54" t="s">
        <v>99</v>
      </c>
      <c r="E17" s="54" t="s">
        <v>100</v>
      </c>
      <c r="F17" s="108"/>
      <c r="G17" s="108"/>
      <c r="H17" s="108"/>
      <c r="I17" s="108"/>
      <c r="J17" s="108"/>
      <c r="K17" s="108"/>
      <c r="L17" s="109"/>
      <c r="M17" s="54" t="s">
        <v>101</v>
      </c>
      <c r="N17" s="112"/>
    </row>
    <row r="18" spans="1:14">
      <c r="A18" s="113"/>
      <c r="B18" s="114"/>
      <c r="C18" s="114"/>
      <c r="D18" s="114"/>
      <c r="E18" s="11" t="s">
        <v>73</v>
      </c>
      <c r="F18" s="11" t="s">
        <v>74</v>
      </c>
      <c r="G18" s="11" t="s">
        <v>79</v>
      </c>
      <c r="H18" s="11" t="s">
        <v>102</v>
      </c>
      <c r="I18" s="11" t="s">
        <v>75</v>
      </c>
      <c r="J18" s="54" t="s">
        <v>99</v>
      </c>
      <c r="K18" s="108"/>
      <c r="L18" s="109"/>
      <c r="M18" s="115"/>
      <c r="N18" s="117"/>
    </row>
    <row r="19" spans="1:14">
      <c r="A19" s="6" t="s">
        <v>10</v>
      </c>
      <c r="B19" s="3"/>
      <c r="C19" s="3"/>
      <c r="D19" s="3" t="s">
        <v>103</v>
      </c>
      <c r="E19" s="3"/>
      <c r="F19" s="3"/>
      <c r="G19" s="3"/>
      <c r="H19" s="3"/>
      <c r="I19" s="3"/>
      <c r="J19" s="53"/>
      <c r="K19" s="108"/>
      <c r="L19" s="109"/>
      <c r="M19" s="63"/>
      <c r="N19" s="110"/>
    </row>
    <row r="20" spans="1:14">
      <c r="A20" s="61" t="s">
        <v>104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/>
    </row>
    <row r="21" spans="1:14">
      <c r="A21" s="65" t="s">
        <v>4</v>
      </c>
      <c r="B21" s="66" t="s">
        <v>73</v>
      </c>
      <c r="C21" s="66" t="s">
        <v>106</v>
      </c>
      <c r="D21" s="66" t="s">
        <v>107</v>
      </c>
      <c r="E21" s="66" t="s">
        <v>99</v>
      </c>
      <c r="F21" s="66" t="s">
        <v>100</v>
      </c>
      <c r="G21" s="108"/>
      <c r="H21" s="108"/>
      <c r="I21" s="108"/>
      <c r="J21" s="108"/>
      <c r="K21" s="109"/>
      <c r="L21" s="66" t="s">
        <v>108</v>
      </c>
      <c r="M21" s="109"/>
      <c r="N21" s="60" t="s">
        <v>101</v>
      </c>
    </row>
    <row r="22" spans="1:14">
      <c r="A22" s="113"/>
      <c r="B22" s="114"/>
      <c r="C22" s="114"/>
      <c r="D22" s="114"/>
      <c r="E22" s="114"/>
      <c r="F22" s="12" t="s">
        <v>73</v>
      </c>
      <c r="G22" s="12" t="s">
        <v>74</v>
      </c>
      <c r="H22" s="12" t="s">
        <v>79</v>
      </c>
      <c r="I22" s="12" t="s">
        <v>102</v>
      </c>
      <c r="J22" s="12" t="s">
        <v>75</v>
      </c>
      <c r="K22" s="12" t="s">
        <v>99</v>
      </c>
      <c r="L22" s="12" t="s">
        <v>74</v>
      </c>
      <c r="M22" s="12" t="s">
        <v>79</v>
      </c>
      <c r="N22" s="118"/>
    </row>
    <row r="23" spans="1:14">
      <c r="A23" s="6" t="s">
        <v>10</v>
      </c>
      <c r="B23" s="3"/>
      <c r="C23" s="3"/>
      <c r="D23" s="3"/>
      <c r="E23" s="3" t="s">
        <v>109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76" t="s">
        <v>110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/>
    </row>
    <row r="26" spans="1:14">
      <c r="A26" s="77" t="s">
        <v>4</v>
      </c>
      <c r="B26" s="70" t="s">
        <v>73</v>
      </c>
      <c r="C26" s="70" t="s">
        <v>111</v>
      </c>
      <c r="D26" s="70" t="s">
        <v>107</v>
      </c>
      <c r="E26" s="70" t="s">
        <v>99</v>
      </c>
      <c r="F26" s="70" t="s">
        <v>100</v>
      </c>
      <c r="G26" s="108"/>
      <c r="H26" s="108"/>
      <c r="I26" s="108"/>
      <c r="J26" s="108"/>
      <c r="K26" s="109"/>
      <c r="L26" s="70" t="s">
        <v>108</v>
      </c>
      <c r="M26" s="109"/>
      <c r="N26" s="75" t="s">
        <v>101</v>
      </c>
    </row>
    <row r="27" spans="1:14">
      <c r="A27" s="113"/>
      <c r="B27" s="114"/>
      <c r="C27" s="114"/>
      <c r="D27" s="114"/>
      <c r="E27" s="114"/>
      <c r="F27" s="13" t="s">
        <v>73</v>
      </c>
      <c r="G27" s="13" t="s">
        <v>74</v>
      </c>
      <c r="H27" s="13" t="s">
        <v>79</v>
      </c>
      <c r="I27" s="13" t="s">
        <v>102</v>
      </c>
      <c r="J27" s="13" t="s">
        <v>75</v>
      </c>
      <c r="K27" s="13" t="s">
        <v>99</v>
      </c>
      <c r="L27" s="13" t="s">
        <v>74</v>
      </c>
      <c r="M27" s="13" t="s">
        <v>79</v>
      </c>
      <c r="N27" s="118"/>
    </row>
    <row r="28" spans="1:14">
      <c r="A28" s="6" t="s">
        <v>62</v>
      </c>
      <c r="B28" s="3" t="s">
        <v>116</v>
      </c>
      <c r="C28" s="3" t="s">
        <v>83</v>
      </c>
      <c r="D28" s="3" t="s">
        <v>113</v>
      </c>
      <c r="E28" s="3" t="s">
        <v>168</v>
      </c>
      <c r="F28" s="3"/>
      <c r="G28" s="3"/>
      <c r="H28" s="3"/>
      <c r="I28" s="3"/>
      <c r="J28" s="3"/>
      <c r="K28" s="3"/>
      <c r="L28" s="3" t="s">
        <v>118</v>
      </c>
      <c r="M28" s="3" t="s">
        <v>119</v>
      </c>
      <c r="N28" s="7"/>
    </row>
  </sheetData>
  <mergeCells count="50">
    <mergeCell ref="B2:E2"/>
    <mergeCell ref="N21:N22"/>
    <mergeCell ref="A20:N20"/>
    <mergeCell ref="A17:A18"/>
    <mergeCell ref="D26:D27"/>
    <mergeCell ref="F26:K26"/>
    <mergeCell ref="C17:C18"/>
    <mergeCell ref="D17:D18"/>
    <mergeCell ref="E12:E13"/>
    <mergeCell ref="C21:C22"/>
    <mergeCell ref="A25:N25"/>
    <mergeCell ref="B6:E6"/>
    <mergeCell ref="F12:F13"/>
    <mergeCell ref="C26:C27"/>
    <mergeCell ref="J14:N14"/>
    <mergeCell ref="E26:E27"/>
    <mergeCell ref="A1:E1"/>
    <mergeCell ref="A11:N11"/>
    <mergeCell ref="B5:E5"/>
    <mergeCell ref="J18:L18"/>
    <mergeCell ref="G12:I13"/>
    <mergeCell ref="G15:I15"/>
    <mergeCell ref="B10:D10"/>
    <mergeCell ref="G14:I14"/>
    <mergeCell ref="B4:E4"/>
    <mergeCell ref="J12:N13"/>
    <mergeCell ref="A12:A13"/>
    <mergeCell ref="J15:N15"/>
    <mergeCell ref="A7:E7"/>
    <mergeCell ref="B9:D9"/>
    <mergeCell ref="B3:E3"/>
    <mergeCell ref="E17:L17"/>
    <mergeCell ref="L26:M26"/>
    <mergeCell ref="M17:N18"/>
    <mergeCell ref="A26:A27"/>
    <mergeCell ref="B26:B27"/>
    <mergeCell ref="L21:M21"/>
    <mergeCell ref="N26:N27"/>
    <mergeCell ref="B21:B22"/>
    <mergeCell ref="J19:L19"/>
    <mergeCell ref="D21:D22"/>
    <mergeCell ref="C12:D12"/>
    <mergeCell ref="F21:K21"/>
    <mergeCell ref="A21:A22"/>
    <mergeCell ref="B12:B13"/>
    <mergeCell ref="B8:D8"/>
    <mergeCell ref="E21:E22"/>
    <mergeCell ref="B17:B18"/>
    <mergeCell ref="A16:N16"/>
    <mergeCell ref="M19:N19"/>
  </mergeCells>
  <hyperlinks>
    <hyperlink ref="A1" location="'Clases'!A1" display="&lt;-Volver al inicio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"/>
  <sheetViews>
    <sheetView workbookViewId="0">
      <selection activeCell="B19" sqref="B1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7" style="1" customWidth="1"/>
    <col min="5" max="5" width="115.57031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Clases!A9</f>
        <v>AircraftModel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Clases!C9</f>
        <v>Estructura que representa un modelo específico de aeronave, con su nombre, tipo, motor asociado, familia, fabricante y estado de disponibilidad.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48" t="s">
        <v>70</v>
      </c>
      <c r="B9" s="81" t="s">
        <v>145</v>
      </c>
      <c r="C9" s="82"/>
      <c r="D9" s="83"/>
      <c r="E9" s="45" t="str">
        <f>HYPERLINK("#'"&amp;F9&amp;"'!A1", F9)</f>
        <v>Manufacturer</v>
      </c>
      <c r="F9" s="46" t="s">
        <v>17</v>
      </c>
      <c r="G9" s="2"/>
      <c r="H9" s="2"/>
      <c r="I9" s="2"/>
      <c r="J9" s="2"/>
      <c r="K9" s="2"/>
      <c r="L9" s="2"/>
      <c r="M9" s="2"/>
      <c r="N9" s="2"/>
    </row>
    <row r="10" spans="1:14">
      <c r="A10" s="48" t="s">
        <v>70</v>
      </c>
      <c r="B10" s="81" t="s">
        <v>145</v>
      </c>
      <c r="C10" s="82"/>
      <c r="D10" s="83"/>
      <c r="E10" s="45" t="str">
        <f t="shared" ref="E10:E12" si="0">HYPERLINK("#'"&amp;F10&amp;"'!A1", F10)</f>
        <v>AircraftFamily</v>
      </c>
      <c r="F10" s="46" t="s">
        <v>21</v>
      </c>
      <c r="G10" s="2"/>
      <c r="H10" s="2"/>
      <c r="I10" s="2"/>
      <c r="J10" s="2"/>
      <c r="K10" s="2"/>
      <c r="L10" s="2"/>
      <c r="M10" s="2"/>
      <c r="N10" s="2"/>
    </row>
    <row r="11" spans="1:14">
      <c r="A11" s="48" t="s">
        <v>70</v>
      </c>
      <c r="B11" s="81" t="s">
        <v>145</v>
      </c>
      <c r="C11" s="82"/>
      <c r="D11" s="83"/>
      <c r="E11" s="45" t="str">
        <f t="shared" si="0"/>
        <v>Engine</v>
      </c>
      <c r="F11" s="44" t="s">
        <v>19</v>
      </c>
    </row>
    <row r="12" spans="1:14" ht="15.75" customHeight="1" thickBot="1">
      <c r="A12" s="9" t="s">
        <v>68</v>
      </c>
      <c r="B12" s="81" t="s">
        <v>145</v>
      </c>
      <c r="C12" s="82"/>
      <c r="D12" s="83"/>
      <c r="E12" s="45" t="str">
        <f t="shared" si="0"/>
        <v>TailNumber</v>
      </c>
      <c r="F12" s="44" t="s">
        <v>25</v>
      </c>
    </row>
    <row r="13" spans="1:14">
      <c r="A13" s="52" t="s">
        <v>72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7"/>
    </row>
    <row r="14" spans="1:14">
      <c r="A14" s="56" t="s">
        <v>105</v>
      </c>
      <c r="B14" s="55" t="s">
        <v>73</v>
      </c>
      <c r="C14" s="55" t="s">
        <v>74</v>
      </c>
      <c r="D14" s="109"/>
      <c r="E14" s="55" t="s">
        <v>75</v>
      </c>
      <c r="F14" s="55" t="s">
        <v>76</v>
      </c>
      <c r="G14" s="55" t="s">
        <v>77</v>
      </c>
      <c r="H14" s="111"/>
      <c r="I14" s="112"/>
      <c r="J14" s="55" t="s">
        <v>78</v>
      </c>
      <c r="K14" s="111"/>
      <c r="L14" s="111"/>
      <c r="M14" s="111"/>
      <c r="N14" s="112"/>
    </row>
    <row r="15" spans="1:14">
      <c r="A15" s="113"/>
      <c r="B15" s="114"/>
      <c r="C15" s="10" t="s">
        <v>74</v>
      </c>
      <c r="D15" s="10" t="s">
        <v>79</v>
      </c>
      <c r="E15" s="114"/>
      <c r="F15" s="114"/>
      <c r="G15" s="115"/>
      <c r="H15" s="116"/>
      <c r="I15" s="117"/>
      <c r="J15" s="115"/>
      <c r="K15" s="116"/>
      <c r="L15" s="116"/>
      <c r="M15" s="116"/>
      <c r="N15" s="117"/>
    </row>
    <row r="16" spans="1:14">
      <c r="A16" s="27" t="s">
        <v>62</v>
      </c>
      <c r="B16" s="28" t="s">
        <v>80</v>
      </c>
      <c r="C16" s="47" t="s">
        <v>81</v>
      </c>
      <c r="D16" s="36"/>
      <c r="E16" s="28" t="s">
        <v>113</v>
      </c>
      <c r="F16" s="28" t="s">
        <v>83</v>
      </c>
      <c r="G16" s="88"/>
      <c r="H16" s="89"/>
      <c r="I16" s="90"/>
      <c r="J16" s="88" t="s">
        <v>169</v>
      </c>
      <c r="K16" s="89"/>
      <c r="L16" s="89"/>
      <c r="M16" s="89"/>
      <c r="N16" s="90"/>
    </row>
    <row r="17" spans="1:14">
      <c r="A17" s="27" t="s">
        <v>62</v>
      </c>
      <c r="B17" s="28" t="s">
        <v>170</v>
      </c>
      <c r="C17" s="47" t="s">
        <v>81</v>
      </c>
      <c r="D17" s="36"/>
      <c r="E17" s="28" t="s">
        <v>113</v>
      </c>
      <c r="F17" s="28" t="s">
        <v>83</v>
      </c>
      <c r="G17" s="88"/>
      <c r="H17" s="89"/>
      <c r="I17" s="90"/>
      <c r="J17" s="88" t="s">
        <v>171</v>
      </c>
      <c r="K17" s="89"/>
      <c r="L17" s="89"/>
      <c r="M17" s="89"/>
      <c r="N17" s="90"/>
    </row>
    <row r="18" spans="1:14">
      <c r="A18" s="27" t="s">
        <v>62</v>
      </c>
      <c r="B18" s="28" t="s">
        <v>172</v>
      </c>
      <c r="C18" s="47" t="s">
        <v>81</v>
      </c>
      <c r="D18" s="36"/>
      <c r="E18" s="28" t="s">
        <v>113</v>
      </c>
      <c r="F18" s="28" t="s">
        <v>83</v>
      </c>
      <c r="G18" s="88"/>
      <c r="H18" s="89"/>
      <c r="I18" s="90"/>
      <c r="J18" s="88" t="s">
        <v>173</v>
      </c>
      <c r="K18" s="89"/>
      <c r="L18" s="89"/>
      <c r="M18" s="89"/>
      <c r="N18" s="90"/>
    </row>
    <row r="19" spans="1:14">
      <c r="A19" s="27" t="s">
        <v>62</v>
      </c>
      <c r="B19" s="3" t="s">
        <v>174</v>
      </c>
      <c r="C19" s="47" t="s">
        <v>81</v>
      </c>
      <c r="D19" s="3"/>
      <c r="E19" s="28" t="s">
        <v>113</v>
      </c>
      <c r="F19" s="28" t="s">
        <v>83</v>
      </c>
      <c r="G19" s="53"/>
      <c r="H19" s="108"/>
      <c r="I19" s="109"/>
      <c r="J19" s="53" t="s">
        <v>175</v>
      </c>
      <c r="K19" s="108"/>
      <c r="L19" s="108"/>
      <c r="M19" s="108"/>
      <c r="N19" s="109"/>
    </row>
    <row r="20" spans="1:14">
      <c r="A20" s="27" t="s">
        <v>62</v>
      </c>
      <c r="B20" s="3" t="s">
        <v>165</v>
      </c>
      <c r="C20" s="47" t="s">
        <v>81</v>
      </c>
      <c r="D20" s="3"/>
      <c r="E20" s="28" t="s">
        <v>113</v>
      </c>
      <c r="F20" s="28" t="s">
        <v>83</v>
      </c>
      <c r="G20" s="53"/>
      <c r="H20" s="108"/>
      <c r="I20" s="109"/>
      <c r="J20" s="53" t="s">
        <v>176</v>
      </c>
      <c r="K20" s="108"/>
      <c r="L20" s="108"/>
      <c r="M20" s="108"/>
      <c r="N20" s="109"/>
    </row>
    <row r="21" spans="1:14">
      <c r="A21" s="27" t="s">
        <v>62</v>
      </c>
      <c r="B21" s="3" t="s">
        <v>17</v>
      </c>
      <c r="C21" s="47" t="s">
        <v>81</v>
      </c>
      <c r="D21" s="3"/>
      <c r="E21" s="28" t="s">
        <v>113</v>
      </c>
      <c r="F21" s="28" t="s">
        <v>83</v>
      </c>
      <c r="G21" s="53"/>
      <c r="H21" s="108"/>
      <c r="I21" s="109"/>
      <c r="J21" s="53" t="s">
        <v>177</v>
      </c>
      <c r="K21" s="108"/>
      <c r="L21" s="108"/>
      <c r="M21" s="108"/>
      <c r="N21" s="109"/>
    </row>
    <row r="22" spans="1:14">
      <c r="A22" s="27" t="s">
        <v>62</v>
      </c>
      <c r="B22" s="3" t="s">
        <v>126</v>
      </c>
      <c r="C22" s="3" t="s">
        <v>141</v>
      </c>
      <c r="D22" s="3"/>
      <c r="E22" s="28" t="s">
        <v>113</v>
      </c>
      <c r="F22" s="28" t="s">
        <v>83</v>
      </c>
      <c r="G22" s="53"/>
      <c r="H22" s="108"/>
      <c r="I22" s="109"/>
      <c r="J22" s="53" t="s">
        <v>178</v>
      </c>
      <c r="K22" s="108"/>
      <c r="L22" s="108"/>
      <c r="M22" s="108"/>
      <c r="N22" s="109"/>
    </row>
    <row r="23" spans="1:14">
      <c r="A23" s="64" t="s">
        <v>97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62" t="s">
        <v>105</v>
      </c>
      <c r="B24" s="54" t="s">
        <v>73</v>
      </c>
      <c r="C24" s="54" t="s">
        <v>98</v>
      </c>
      <c r="D24" s="54" t="s">
        <v>99</v>
      </c>
      <c r="E24" s="54" t="s">
        <v>100</v>
      </c>
      <c r="F24" s="108"/>
      <c r="G24" s="108"/>
      <c r="H24" s="108"/>
      <c r="I24" s="108"/>
      <c r="J24" s="108"/>
      <c r="K24" s="108"/>
      <c r="L24" s="109"/>
      <c r="M24" s="54" t="s">
        <v>101</v>
      </c>
      <c r="N24" s="112"/>
    </row>
    <row r="25" spans="1:14">
      <c r="A25" s="113"/>
      <c r="B25" s="114"/>
      <c r="C25" s="114"/>
      <c r="D25" s="114"/>
      <c r="E25" s="11" t="s">
        <v>73</v>
      </c>
      <c r="F25" s="11" t="s">
        <v>74</v>
      </c>
      <c r="G25" s="11" t="s">
        <v>79</v>
      </c>
      <c r="H25" s="11" t="s">
        <v>102</v>
      </c>
      <c r="I25" s="11" t="s">
        <v>75</v>
      </c>
      <c r="J25" s="54" t="s">
        <v>99</v>
      </c>
      <c r="K25" s="108"/>
      <c r="L25" s="109"/>
      <c r="M25" s="115"/>
      <c r="N25" s="117"/>
    </row>
    <row r="26" spans="1:14">
      <c r="A26" s="6" t="s">
        <v>10</v>
      </c>
      <c r="B26" s="3"/>
      <c r="C26" s="3"/>
      <c r="D26" s="3" t="s">
        <v>103</v>
      </c>
      <c r="E26" s="3"/>
      <c r="F26" s="3"/>
      <c r="G26" s="3"/>
      <c r="H26" s="3"/>
      <c r="I26" s="3"/>
      <c r="J26" s="53"/>
      <c r="K26" s="108"/>
      <c r="L26" s="109"/>
      <c r="M26" s="63"/>
      <c r="N26" s="110"/>
    </row>
    <row r="27" spans="1:14">
      <c r="A27" s="61" t="s">
        <v>104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/>
    </row>
    <row r="28" spans="1:14">
      <c r="A28" s="65" t="s">
        <v>105</v>
      </c>
      <c r="B28" s="66" t="s">
        <v>73</v>
      </c>
      <c r="C28" s="66" t="s">
        <v>106</v>
      </c>
      <c r="D28" s="66" t="s">
        <v>107</v>
      </c>
      <c r="E28" s="66" t="s">
        <v>99</v>
      </c>
      <c r="F28" s="66" t="s">
        <v>100</v>
      </c>
      <c r="G28" s="108"/>
      <c r="H28" s="108"/>
      <c r="I28" s="108"/>
      <c r="J28" s="108"/>
      <c r="K28" s="109"/>
      <c r="L28" s="66" t="s">
        <v>108</v>
      </c>
      <c r="M28" s="109"/>
      <c r="N28" s="60" t="s">
        <v>101</v>
      </c>
    </row>
    <row r="29" spans="1:14">
      <c r="A29" s="113"/>
      <c r="B29" s="114"/>
      <c r="C29" s="114"/>
      <c r="D29" s="114"/>
      <c r="E29" s="114"/>
      <c r="F29" s="12" t="s">
        <v>73</v>
      </c>
      <c r="G29" s="12" t="s">
        <v>74</v>
      </c>
      <c r="H29" s="12" t="s">
        <v>79</v>
      </c>
      <c r="I29" s="12" t="s">
        <v>102</v>
      </c>
      <c r="J29" s="12" t="s">
        <v>75</v>
      </c>
      <c r="K29" s="12" t="s">
        <v>99</v>
      </c>
      <c r="L29" s="12" t="s">
        <v>74</v>
      </c>
      <c r="M29" s="12" t="s">
        <v>79</v>
      </c>
      <c r="N29" s="118"/>
    </row>
    <row r="30" spans="1:14">
      <c r="A30" s="6" t="s">
        <v>10</v>
      </c>
      <c r="B30" s="3"/>
      <c r="C30" s="3"/>
      <c r="D30" s="3"/>
      <c r="E30" s="3" t="s">
        <v>109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76" t="s">
        <v>110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9"/>
    </row>
    <row r="32" spans="1:14">
      <c r="A32" s="77" t="s">
        <v>105</v>
      </c>
      <c r="B32" s="70" t="s">
        <v>73</v>
      </c>
      <c r="C32" s="70" t="s">
        <v>111</v>
      </c>
      <c r="D32" s="70" t="s">
        <v>107</v>
      </c>
      <c r="E32" s="70" t="s">
        <v>99</v>
      </c>
      <c r="F32" s="70" t="s">
        <v>100</v>
      </c>
      <c r="G32" s="108"/>
      <c r="H32" s="108"/>
      <c r="I32" s="108"/>
      <c r="J32" s="108"/>
      <c r="K32" s="109"/>
      <c r="L32" s="70" t="s">
        <v>108</v>
      </c>
      <c r="M32" s="109"/>
      <c r="N32" s="75" t="s">
        <v>101</v>
      </c>
    </row>
    <row r="33" spans="1:14">
      <c r="A33" s="113"/>
      <c r="B33" s="114"/>
      <c r="C33" s="114"/>
      <c r="D33" s="114"/>
      <c r="E33" s="114"/>
      <c r="F33" s="13" t="s">
        <v>73</v>
      </c>
      <c r="G33" s="13" t="s">
        <v>74</v>
      </c>
      <c r="H33" s="13" t="s">
        <v>79</v>
      </c>
      <c r="I33" s="13" t="s">
        <v>102</v>
      </c>
      <c r="J33" s="13" t="s">
        <v>75</v>
      </c>
      <c r="K33" s="13" t="s">
        <v>99</v>
      </c>
      <c r="L33" s="13" t="s">
        <v>74</v>
      </c>
      <c r="M33" s="13" t="s">
        <v>79</v>
      </c>
      <c r="N33" s="118"/>
    </row>
    <row r="34" spans="1:14">
      <c r="A34" s="6" t="s">
        <v>62</v>
      </c>
      <c r="B34" s="3" t="s">
        <v>116</v>
      </c>
      <c r="C34" s="3" t="s">
        <v>83</v>
      </c>
      <c r="D34" s="3" t="s">
        <v>113</v>
      </c>
      <c r="E34" s="3" t="s">
        <v>179</v>
      </c>
      <c r="F34" s="3"/>
      <c r="G34" s="3"/>
      <c r="H34" s="3"/>
      <c r="I34" s="3"/>
      <c r="J34" s="3"/>
      <c r="K34" s="3"/>
      <c r="L34" s="3" t="s">
        <v>118</v>
      </c>
      <c r="M34" s="3" t="s">
        <v>119</v>
      </c>
      <c r="N34" s="7"/>
    </row>
  </sheetData>
  <mergeCells count="62">
    <mergeCell ref="L32:M32"/>
    <mergeCell ref="M24:N25"/>
    <mergeCell ref="J21:N21"/>
    <mergeCell ref="A32:A33"/>
    <mergeCell ref="B2:E2"/>
    <mergeCell ref="N28:N29"/>
    <mergeCell ref="A27:N27"/>
    <mergeCell ref="A24:A25"/>
    <mergeCell ref="D32:D33"/>
    <mergeCell ref="F32:K32"/>
    <mergeCell ref="C24:C25"/>
    <mergeCell ref="D24:D25"/>
    <mergeCell ref="E14:E15"/>
    <mergeCell ref="G22:I22"/>
    <mergeCell ref="C28:C29"/>
    <mergeCell ref="A31:N31"/>
    <mergeCell ref="A1:E1"/>
    <mergeCell ref="A13:N13"/>
    <mergeCell ref="B5:E5"/>
    <mergeCell ref="J25:L25"/>
    <mergeCell ref="G14:I15"/>
    <mergeCell ref="G20:I20"/>
    <mergeCell ref="B12:D12"/>
    <mergeCell ref="G19:I19"/>
    <mergeCell ref="B4:E4"/>
    <mergeCell ref="J14:N15"/>
    <mergeCell ref="A14:A15"/>
    <mergeCell ref="J20:N20"/>
    <mergeCell ref="A7:E7"/>
    <mergeCell ref="B11:D11"/>
    <mergeCell ref="B3:E3"/>
    <mergeCell ref="E24:L24"/>
    <mergeCell ref="B6:E6"/>
    <mergeCell ref="F14:F15"/>
    <mergeCell ref="C32:C33"/>
    <mergeCell ref="J19:N19"/>
    <mergeCell ref="E32:E33"/>
    <mergeCell ref="B32:B33"/>
    <mergeCell ref="L28:M28"/>
    <mergeCell ref="N32:N33"/>
    <mergeCell ref="B28:B29"/>
    <mergeCell ref="J26:L26"/>
    <mergeCell ref="D28:D29"/>
    <mergeCell ref="B24:B25"/>
    <mergeCell ref="A23:N23"/>
    <mergeCell ref="C14:D14"/>
    <mergeCell ref="J22:N22"/>
    <mergeCell ref="F28:K28"/>
    <mergeCell ref="A28:A29"/>
    <mergeCell ref="B14:B15"/>
    <mergeCell ref="B8:D8"/>
    <mergeCell ref="G21:I21"/>
    <mergeCell ref="M26:N26"/>
    <mergeCell ref="E28:E29"/>
    <mergeCell ref="B9:D9"/>
    <mergeCell ref="B10:D10"/>
    <mergeCell ref="G16:I16"/>
    <mergeCell ref="G17:I17"/>
    <mergeCell ref="G18:I18"/>
    <mergeCell ref="J16:N16"/>
    <mergeCell ref="J17:N17"/>
    <mergeCell ref="J18:N18"/>
  </mergeCells>
  <hyperlinks>
    <hyperlink ref="A1" location="'Clases'!A1" display="&lt;-Volver al inicio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3"/>
  <sheetViews>
    <sheetView topLeftCell="A3" workbookViewId="0">
      <selection activeCell="C35" sqref="C3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7.42578125" style="1" customWidth="1"/>
    <col min="5" max="5" width="96.855468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Clases!A10</f>
        <v>TailNumber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Clases!C10</f>
        <v>Estructura que representa la matrícula de una aeronave, vinculando un número de registro con un modelo de avión y la aerolínea.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69</v>
      </c>
      <c r="C9" s="108"/>
      <c r="D9" s="109"/>
      <c r="E9" s="42" t="str">
        <f>HYPERLINK("#'"&amp;F9&amp;"'!A1", F9)</f>
        <v>AircraftModel</v>
      </c>
      <c r="F9" s="44" t="s">
        <v>23</v>
      </c>
    </row>
    <row r="10" spans="1:14">
      <c r="A10" s="9" t="s">
        <v>164</v>
      </c>
      <c r="B10" s="67" t="s">
        <v>69</v>
      </c>
      <c r="C10" s="68"/>
      <c r="D10" s="69"/>
      <c r="E10" s="42" t="str">
        <f t="shared" ref="E10:E11" si="0">HYPERLINK("#'"&amp;F10&amp;"'!A1", F10)</f>
        <v>Airline</v>
      </c>
      <c r="F10" s="44" t="s">
        <v>11</v>
      </c>
    </row>
    <row r="11" spans="1:14" ht="15.75" customHeight="1" thickBot="1">
      <c r="A11" s="9" t="s">
        <v>120</v>
      </c>
      <c r="B11" s="87" t="s">
        <v>69</v>
      </c>
      <c r="C11" s="111"/>
      <c r="D11" s="112"/>
      <c r="E11" s="42" t="str">
        <f t="shared" si="0"/>
        <v>DailyLogbookDetail</v>
      </c>
      <c r="F11" s="44" t="s">
        <v>33</v>
      </c>
    </row>
    <row r="12" spans="1:14">
      <c r="A12" s="52" t="s">
        <v>72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7"/>
    </row>
    <row r="13" spans="1:14">
      <c r="A13" s="56" t="s">
        <v>4</v>
      </c>
      <c r="B13" s="55" t="s">
        <v>73</v>
      </c>
      <c r="C13" s="55" t="s">
        <v>74</v>
      </c>
      <c r="D13" s="109"/>
      <c r="E13" s="55" t="s">
        <v>75</v>
      </c>
      <c r="F13" s="55" t="s">
        <v>76</v>
      </c>
      <c r="G13" s="55" t="s">
        <v>77</v>
      </c>
      <c r="H13" s="111"/>
      <c r="I13" s="112"/>
      <c r="J13" s="55" t="s">
        <v>78</v>
      </c>
      <c r="K13" s="111"/>
      <c r="L13" s="111"/>
      <c r="M13" s="111"/>
      <c r="N13" s="112"/>
    </row>
    <row r="14" spans="1:14">
      <c r="A14" s="113"/>
      <c r="B14" s="114"/>
      <c r="C14" s="10" t="s">
        <v>74</v>
      </c>
      <c r="D14" s="10" t="s">
        <v>79</v>
      </c>
      <c r="E14" s="114"/>
      <c r="F14" s="114"/>
      <c r="G14" s="115"/>
      <c r="H14" s="116"/>
      <c r="I14" s="117"/>
      <c r="J14" s="115"/>
      <c r="K14" s="116"/>
      <c r="L14" s="116"/>
      <c r="M14" s="116"/>
      <c r="N14" s="117"/>
    </row>
    <row r="15" spans="1:14">
      <c r="A15" s="6" t="s">
        <v>62</v>
      </c>
      <c r="B15" s="3" t="s">
        <v>80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53" t="s">
        <v>180</v>
      </c>
      <c r="K15" s="108"/>
      <c r="L15" s="108"/>
      <c r="M15" s="108"/>
      <c r="N15" s="109"/>
    </row>
    <row r="16" spans="1:14">
      <c r="A16" s="6" t="s">
        <v>62</v>
      </c>
      <c r="B16" s="3" t="s">
        <v>25</v>
      </c>
      <c r="C16" s="3" t="s">
        <v>81</v>
      </c>
      <c r="D16" s="3"/>
      <c r="E16" s="3" t="s">
        <v>113</v>
      </c>
      <c r="F16" s="3" t="s">
        <v>83</v>
      </c>
      <c r="G16" s="53"/>
      <c r="H16" s="108"/>
      <c r="I16" s="109"/>
      <c r="J16" s="53" t="s">
        <v>181</v>
      </c>
      <c r="K16" s="108"/>
      <c r="L16" s="108"/>
      <c r="M16" s="108"/>
      <c r="N16" s="109"/>
    </row>
    <row r="17" spans="1:14">
      <c r="A17" s="6" t="s">
        <v>62</v>
      </c>
      <c r="B17" s="3" t="s">
        <v>182</v>
      </c>
      <c r="C17" s="3" t="s">
        <v>81</v>
      </c>
      <c r="D17" s="3"/>
      <c r="E17" s="3" t="s">
        <v>113</v>
      </c>
      <c r="F17" s="3" t="s">
        <v>83</v>
      </c>
      <c r="G17" s="53"/>
      <c r="H17" s="108"/>
      <c r="I17" s="109"/>
      <c r="J17" s="53" t="s">
        <v>183</v>
      </c>
      <c r="K17" s="108"/>
      <c r="L17" s="108"/>
      <c r="M17" s="108"/>
      <c r="N17" s="109"/>
    </row>
    <row r="18" spans="1:14">
      <c r="A18" s="6" t="s">
        <v>62</v>
      </c>
      <c r="B18" s="3" t="s">
        <v>131</v>
      </c>
      <c r="C18" s="3" t="s">
        <v>81</v>
      </c>
      <c r="D18" s="3"/>
      <c r="E18" s="3" t="s">
        <v>113</v>
      </c>
      <c r="F18" s="3" t="s">
        <v>83</v>
      </c>
      <c r="G18" s="84"/>
      <c r="H18" s="85"/>
      <c r="I18" s="86"/>
      <c r="J18" s="91" t="s">
        <v>184</v>
      </c>
      <c r="K18" s="92"/>
      <c r="L18" s="92"/>
      <c r="M18" s="92"/>
      <c r="N18" s="93"/>
    </row>
    <row r="19" spans="1:14">
      <c r="A19" s="6" t="s">
        <v>62</v>
      </c>
      <c r="B19" s="3" t="s">
        <v>170</v>
      </c>
      <c r="C19" s="3" t="s">
        <v>81</v>
      </c>
      <c r="D19" s="3"/>
      <c r="E19" s="3" t="s">
        <v>113</v>
      </c>
      <c r="F19" s="3" t="s">
        <v>83</v>
      </c>
      <c r="G19" s="84"/>
      <c r="H19" s="85"/>
      <c r="I19" s="85"/>
      <c r="J19" s="94" t="s">
        <v>185</v>
      </c>
      <c r="K19" s="94"/>
      <c r="L19" s="94"/>
      <c r="M19" s="94"/>
      <c r="N19" s="94"/>
    </row>
    <row r="20" spans="1:14">
      <c r="A20" s="6" t="s">
        <v>62</v>
      </c>
      <c r="B20" s="3" t="s">
        <v>122</v>
      </c>
      <c r="C20" s="3" t="s">
        <v>81</v>
      </c>
      <c r="D20" s="3"/>
      <c r="E20" s="3" t="s">
        <v>113</v>
      </c>
      <c r="F20" s="3" t="s">
        <v>83</v>
      </c>
      <c r="G20" s="53"/>
      <c r="H20" s="108"/>
      <c r="I20" s="109"/>
      <c r="J20" s="95" t="s">
        <v>186</v>
      </c>
      <c r="K20" s="116"/>
      <c r="L20" s="116"/>
      <c r="M20" s="116"/>
      <c r="N20" s="117"/>
    </row>
    <row r="21" spans="1:14">
      <c r="A21" s="64" t="s">
        <v>97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9"/>
    </row>
    <row r="22" spans="1:14">
      <c r="A22" s="62" t="s">
        <v>4</v>
      </c>
      <c r="B22" s="54" t="s">
        <v>73</v>
      </c>
      <c r="C22" s="54" t="s">
        <v>98</v>
      </c>
      <c r="D22" s="54" t="s">
        <v>99</v>
      </c>
      <c r="E22" s="54" t="s">
        <v>100</v>
      </c>
      <c r="F22" s="108"/>
      <c r="G22" s="108"/>
      <c r="H22" s="108"/>
      <c r="I22" s="108"/>
      <c r="J22" s="108"/>
      <c r="K22" s="108"/>
      <c r="L22" s="109"/>
      <c r="M22" s="54" t="s">
        <v>101</v>
      </c>
      <c r="N22" s="112"/>
    </row>
    <row r="23" spans="1:14">
      <c r="A23" s="113"/>
      <c r="B23" s="114"/>
      <c r="C23" s="114"/>
      <c r="D23" s="114"/>
      <c r="E23" s="11" t="s">
        <v>73</v>
      </c>
      <c r="F23" s="11" t="s">
        <v>74</v>
      </c>
      <c r="G23" s="11" t="s">
        <v>79</v>
      </c>
      <c r="H23" s="11" t="s">
        <v>102</v>
      </c>
      <c r="I23" s="11" t="s">
        <v>75</v>
      </c>
      <c r="J23" s="54" t="s">
        <v>99</v>
      </c>
      <c r="K23" s="108"/>
      <c r="L23" s="109"/>
      <c r="M23" s="115"/>
      <c r="N23" s="117"/>
    </row>
    <row r="24" spans="1:14">
      <c r="A24" s="6" t="s">
        <v>10</v>
      </c>
      <c r="B24" s="3"/>
      <c r="C24" s="3"/>
      <c r="D24" s="3" t="s">
        <v>103</v>
      </c>
      <c r="E24" s="3"/>
      <c r="F24" s="3"/>
      <c r="G24" s="3"/>
      <c r="H24" s="3"/>
      <c r="I24" s="3"/>
      <c r="J24" s="53"/>
      <c r="K24" s="108"/>
      <c r="L24" s="109"/>
      <c r="M24" s="63"/>
      <c r="N24" s="110"/>
    </row>
    <row r="25" spans="1:14">
      <c r="A25" s="61" t="s">
        <v>104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/>
    </row>
    <row r="26" spans="1:14">
      <c r="A26" s="65" t="s">
        <v>4</v>
      </c>
      <c r="B26" s="66" t="s">
        <v>73</v>
      </c>
      <c r="C26" s="66" t="s">
        <v>106</v>
      </c>
      <c r="D26" s="66" t="s">
        <v>107</v>
      </c>
      <c r="E26" s="66" t="s">
        <v>99</v>
      </c>
      <c r="F26" s="66" t="s">
        <v>100</v>
      </c>
      <c r="G26" s="108"/>
      <c r="H26" s="108"/>
      <c r="I26" s="108"/>
      <c r="J26" s="108"/>
      <c r="K26" s="109"/>
      <c r="L26" s="66" t="s">
        <v>108</v>
      </c>
      <c r="M26" s="109"/>
      <c r="N26" s="60" t="s">
        <v>101</v>
      </c>
    </row>
    <row r="27" spans="1:14">
      <c r="A27" s="113"/>
      <c r="B27" s="114"/>
      <c r="C27" s="114"/>
      <c r="D27" s="114"/>
      <c r="E27" s="114"/>
      <c r="F27" s="12" t="s">
        <v>73</v>
      </c>
      <c r="G27" s="12" t="s">
        <v>74</v>
      </c>
      <c r="H27" s="12" t="s">
        <v>79</v>
      </c>
      <c r="I27" s="12" t="s">
        <v>102</v>
      </c>
      <c r="J27" s="12" t="s">
        <v>75</v>
      </c>
      <c r="K27" s="12" t="s">
        <v>99</v>
      </c>
      <c r="L27" s="12" t="s">
        <v>74</v>
      </c>
      <c r="M27" s="12" t="s">
        <v>79</v>
      </c>
      <c r="N27" s="118"/>
    </row>
    <row r="28" spans="1:14">
      <c r="A28" s="6" t="s">
        <v>10</v>
      </c>
      <c r="B28" s="3"/>
      <c r="C28" s="3"/>
      <c r="D28" s="3"/>
      <c r="E28" s="3" t="s">
        <v>109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7"/>
    </row>
    <row r="30" spans="1:14">
      <c r="A30" s="76" t="s">
        <v>110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/>
    </row>
    <row r="31" spans="1:14">
      <c r="A31" s="77" t="s">
        <v>4</v>
      </c>
      <c r="B31" s="70" t="s">
        <v>73</v>
      </c>
      <c r="C31" s="70" t="s">
        <v>111</v>
      </c>
      <c r="D31" s="70" t="s">
        <v>107</v>
      </c>
      <c r="E31" s="70" t="s">
        <v>99</v>
      </c>
      <c r="F31" s="70" t="s">
        <v>100</v>
      </c>
      <c r="G31" s="108"/>
      <c r="H31" s="108"/>
      <c r="I31" s="108"/>
      <c r="J31" s="108"/>
      <c r="K31" s="109"/>
      <c r="L31" s="70" t="s">
        <v>108</v>
      </c>
      <c r="M31" s="109"/>
      <c r="N31" s="75" t="s">
        <v>101</v>
      </c>
    </row>
    <row r="32" spans="1:14">
      <c r="A32" s="113"/>
      <c r="B32" s="114"/>
      <c r="C32" s="114"/>
      <c r="D32" s="114"/>
      <c r="E32" s="114"/>
      <c r="F32" s="13" t="s">
        <v>73</v>
      </c>
      <c r="G32" s="13" t="s">
        <v>74</v>
      </c>
      <c r="H32" s="13" t="s">
        <v>79</v>
      </c>
      <c r="I32" s="13" t="s">
        <v>102</v>
      </c>
      <c r="J32" s="13" t="s">
        <v>75</v>
      </c>
      <c r="K32" s="13" t="s">
        <v>99</v>
      </c>
      <c r="L32" s="13" t="s">
        <v>74</v>
      </c>
      <c r="M32" s="13" t="s">
        <v>79</v>
      </c>
      <c r="N32" s="118"/>
    </row>
    <row r="33" spans="1:14">
      <c r="A33" s="6" t="s">
        <v>62</v>
      </c>
      <c r="B33" s="3" t="s">
        <v>116</v>
      </c>
      <c r="C33" s="3" t="s">
        <v>83</v>
      </c>
      <c r="D33" s="3" t="s">
        <v>113</v>
      </c>
      <c r="E33" s="3" t="s">
        <v>187</v>
      </c>
      <c r="F33" s="3"/>
      <c r="G33" s="3"/>
      <c r="H33" s="3"/>
      <c r="I33" s="3"/>
      <c r="J33" s="3"/>
      <c r="K33" s="3"/>
      <c r="L33" s="3" t="s">
        <v>118</v>
      </c>
      <c r="M33" s="3" t="s">
        <v>119</v>
      </c>
      <c r="N33" s="7"/>
    </row>
  </sheetData>
  <mergeCells count="59">
    <mergeCell ref="L31:M31"/>
    <mergeCell ref="M22:N23"/>
    <mergeCell ref="J17:N17"/>
    <mergeCell ref="A31:A32"/>
    <mergeCell ref="B2:E2"/>
    <mergeCell ref="N26:N27"/>
    <mergeCell ref="A25:N25"/>
    <mergeCell ref="A22:A23"/>
    <mergeCell ref="D31:D32"/>
    <mergeCell ref="F31:K31"/>
    <mergeCell ref="C22:C23"/>
    <mergeCell ref="D22:D23"/>
    <mergeCell ref="E13:E14"/>
    <mergeCell ref="G20:I20"/>
    <mergeCell ref="C26:C27"/>
    <mergeCell ref="A30:N30"/>
    <mergeCell ref="A1:E1"/>
    <mergeCell ref="A12:N12"/>
    <mergeCell ref="B5:E5"/>
    <mergeCell ref="J23:L23"/>
    <mergeCell ref="G13:I14"/>
    <mergeCell ref="G16:I16"/>
    <mergeCell ref="B11:D11"/>
    <mergeCell ref="G15:I15"/>
    <mergeCell ref="B4:E4"/>
    <mergeCell ref="J13:N14"/>
    <mergeCell ref="A13:A14"/>
    <mergeCell ref="J16:N16"/>
    <mergeCell ref="A7:E7"/>
    <mergeCell ref="B9:D9"/>
    <mergeCell ref="B3:E3"/>
    <mergeCell ref="E22:L22"/>
    <mergeCell ref="B6:E6"/>
    <mergeCell ref="F13:F14"/>
    <mergeCell ref="C31:C32"/>
    <mergeCell ref="J15:N15"/>
    <mergeCell ref="E31:E32"/>
    <mergeCell ref="B31:B32"/>
    <mergeCell ref="L26:M26"/>
    <mergeCell ref="N31:N32"/>
    <mergeCell ref="B26:B27"/>
    <mergeCell ref="J24:L24"/>
    <mergeCell ref="D26:D27"/>
    <mergeCell ref="B22:B23"/>
    <mergeCell ref="A21:N21"/>
    <mergeCell ref="C13:D13"/>
    <mergeCell ref="J20:N20"/>
    <mergeCell ref="F26:K26"/>
    <mergeCell ref="A26:A27"/>
    <mergeCell ref="B13:B14"/>
    <mergeCell ref="B8:D8"/>
    <mergeCell ref="G17:I17"/>
    <mergeCell ref="M24:N24"/>
    <mergeCell ref="E26:E27"/>
    <mergeCell ref="B10:D10"/>
    <mergeCell ref="G18:I18"/>
    <mergeCell ref="G19:I19"/>
    <mergeCell ref="J18:N18"/>
    <mergeCell ref="J19:N19"/>
  </mergeCells>
  <hyperlinks>
    <hyperlink ref="A1" location="'Clases'!A1" display="&lt;-Volver al inicio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5"/>
  <sheetViews>
    <sheetView topLeftCell="A11" workbookViewId="0">
      <selection activeCell="B19" sqref="B19"/>
    </sheetView>
  </sheetViews>
  <sheetFormatPr defaultColWidth="19.7109375" defaultRowHeight="15"/>
  <cols>
    <col min="1" max="1" width="28.7109375" style="1" customWidth="1"/>
    <col min="2" max="2" width="21.7109375" style="1" customWidth="1"/>
    <col min="3" max="3" width="27.140625" style="1" bestFit="1" customWidth="1"/>
    <col min="4" max="4" width="46.7109375" style="1" customWidth="1"/>
    <col min="5" max="5" width="101.28515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Clases!A11</f>
        <v>Route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Clases!C11</f>
        <v>Estructura que representa una ruta aérea entre dos aeropuertos, con el tiempo estimado de vuelo y los códigos de los aeropuertos de origen y destino.</v>
      </c>
      <c r="C4" s="108"/>
      <c r="D4" s="108"/>
      <c r="E4" s="109"/>
    </row>
    <row r="5" spans="1:14">
      <c r="A5" s="17" t="s">
        <v>61</v>
      </c>
      <c r="B5" s="53" t="s">
        <v>9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69</v>
      </c>
      <c r="C9" s="108"/>
      <c r="D9" s="109"/>
      <c r="E9" s="42" t="str">
        <f>HYPERLINK("#'"&amp;F9&amp;"'!A1", F9)</f>
        <v>Airport</v>
      </c>
      <c r="F9" s="44" t="s">
        <v>15</v>
      </c>
    </row>
    <row r="10" spans="1:14" ht="15.75" customHeight="1" thickBot="1">
      <c r="A10" s="9" t="s">
        <v>120</v>
      </c>
      <c r="B10" s="87" t="s">
        <v>69</v>
      </c>
      <c r="C10" s="111"/>
      <c r="D10" s="112"/>
      <c r="E10" s="42" t="str">
        <f>HYPERLINK("#'"&amp;F10&amp;"'!A1", F10)</f>
        <v>AirlineRoute</v>
      </c>
      <c r="F10" s="44" t="s">
        <v>29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80</v>
      </c>
      <c r="C14" s="3" t="s">
        <v>81</v>
      </c>
      <c r="D14" s="3"/>
      <c r="E14" s="3" t="s">
        <v>82</v>
      </c>
      <c r="F14" s="3" t="s">
        <v>83</v>
      </c>
      <c r="G14" s="53"/>
      <c r="H14" s="108"/>
      <c r="I14" s="109"/>
      <c r="J14" s="98" t="s">
        <v>188</v>
      </c>
      <c r="K14" s="108"/>
      <c r="L14" s="108"/>
      <c r="M14" s="108"/>
      <c r="N14" s="109"/>
    </row>
    <row r="15" spans="1:14">
      <c r="A15" s="6" t="s">
        <v>62</v>
      </c>
      <c r="B15" s="3" t="s">
        <v>189</v>
      </c>
      <c r="C15" s="3" t="s">
        <v>81</v>
      </c>
      <c r="D15" s="3"/>
      <c r="E15" s="3" t="s">
        <v>82</v>
      </c>
      <c r="F15" s="3" t="s">
        <v>83</v>
      </c>
      <c r="G15" s="84"/>
      <c r="H15" s="85"/>
      <c r="I15" s="86"/>
      <c r="J15" s="96" t="s">
        <v>190</v>
      </c>
      <c r="K15" s="97"/>
      <c r="L15" s="97"/>
      <c r="M15" s="97"/>
      <c r="N15" s="99"/>
    </row>
    <row r="16" spans="1:14">
      <c r="A16" s="6" t="s">
        <v>62</v>
      </c>
      <c r="B16" s="3" t="s">
        <v>191</v>
      </c>
      <c r="C16" s="3" t="s">
        <v>81</v>
      </c>
      <c r="D16" s="3"/>
      <c r="E16" s="3" t="s">
        <v>82</v>
      </c>
      <c r="F16" s="3" t="s">
        <v>83</v>
      </c>
      <c r="G16" s="84"/>
      <c r="H16" s="85"/>
      <c r="I16" s="86"/>
      <c r="J16" s="96" t="s">
        <v>192</v>
      </c>
      <c r="K16" s="97"/>
      <c r="L16" s="97"/>
      <c r="M16" s="97"/>
      <c r="N16" s="26"/>
    </row>
    <row r="17" spans="1:14">
      <c r="A17" s="6" t="s">
        <v>62</v>
      </c>
      <c r="B17" s="3" t="s">
        <v>151</v>
      </c>
      <c r="C17" s="3" t="s">
        <v>81</v>
      </c>
      <c r="D17" s="3"/>
      <c r="E17" s="3" t="s">
        <v>82</v>
      </c>
      <c r="F17" s="3" t="s">
        <v>83</v>
      </c>
      <c r="G17" s="84"/>
      <c r="H17" s="85"/>
      <c r="I17" s="86"/>
      <c r="J17" s="96" t="s">
        <v>193</v>
      </c>
      <c r="K17" s="97"/>
      <c r="L17" s="97"/>
      <c r="M17" s="97"/>
      <c r="N17" s="26"/>
    </row>
    <row r="18" spans="1:14">
      <c r="A18" s="6" t="s">
        <v>62</v>
      </c>
      <c r="B18" s="3" t="s">
        <v>194</v>
      </c>
      <c r="C18" s="3" t="s">
        <v>81</v>
      </c>
      <c r="D18" s="3"/>
      <c r="E18" s="3" t="s">
        <v>82</v>
      </c>
      <c r="F18" s="3" t="s">
        <v>83</v>
      </c>
      <c r="G18" s="53"/>
      <c r="H18" s="108"/>
      <c r="I18" s="109"/>
      <c r="J18" s="98" t="s">
        <v>195</v>
      </c>
      <c r="K18" s="108"/>
      <c r="L18" s="108"/>
      <c r="M18" s="108"/>
      <c r="N18" s="109"/>
    </row>
    <row r="19" spans="1:14">
      <c r="A19" s="6" t="s">
        <v>62</v>
      </c>
      <c r="B19" s="3" t="s">
        <v>196</v>
      </c>
      <c r="C19" s="3" t="s">
        <v>81</v>
      </c>
      <c r="D19" s="3"/>
      <c r="E19" s="3" t="s">
        <v>82</v>
      </c>
      <c r="F19" s="3" t="s">
        <v>83</v>
      </c>
      <c r="G19" s="53"/>
      <c r="H19" s="108"/>
      <c r="I19" s="109"/>
      <c r="J19" s="98" t="s">
        <v>197</v>
      </c>
      <c r="K19" s="108"/>
      <c r="L19" s="108"/>
      <c r="M19" s="108"/>
      <c r="N19" s="109"/>
    </row>
    <row r="20" spans="1:14">
      <c r="A20" s="6" t="s">
        <v>62</v>
      </c>
      <c r="B20" s="3" t="s">
        <v>198</v>
      </c>
      <c r="C20" s="3" t="s">
        <v>81</v>
      </c>
      <c r="D20" s="3"/>
      <c r="E20" s="3" t="s">
        <v>82</v>
      </c>
      <c r="F20" s="3" t="s">
        <v>83</v>
      </c>
      <c r="G20" s="84"/>
      <c r="H20" s="85"/>
      <c r="I20" s="86"/>
      <c r="J20" s="96" t="s">
        <v>199</v>
      </c>
      <c r="K20" s="97"/>
      <c r="L20" s="97"/>
      <c r="M20" s="97"/>
      <c r="N20" s="26"/>
    </row>
    <row r="21" spans="1:14">
      <c r="A21" s="6" t="s">
        <v>62</v>
      </c>
      <c r="B21" s="3" t="s">
        <v>200</v>
      </c>
      <c r="C21" s="3" t="s">
        <v>81</v>
      </c>
      <c r="D21" s="3"/>
      <c r="E21" s="3" t="s">
        <v>82</v>
      </c>
      <c r="F21" s="3" t="s">
        <v>83</v>
      </c>
      <c r="G21" s="84"/>
      <c r="H21" s="85"/>
      <c r="I21" s="86"/>
      <c r="J21" s="96" t="s">
        <v>201</v>
      </c>
      <c r="K21" s="97"/>
      <c r="L21" s="97"/>
      <c r="M21" s="97"/>
      <c r="N21" s="26"/>
    </row>
    <row r="22" spans="1:14">
      <c r="A22" s="6" t="s">
        <v>62</v>
      </c>
      <c r="B22" s="3" t="s">
        <v>202</v>
      </c>
      <c r="C22" s="3" t="s">
        <v>81</v>
      </c>
      <c r="D22" s="3"/>
      <c r="E22" s="3" t="s">
        <v>82</v>
      </c>
      <c r="F22" s="3" t="s">
        <v>83</v>
      </c>
      <c r="G22" s="84"/>
      <c r="H22" s="85"/>
      <c r="I22" s="86"/>
      <c r="J22" s="96" t="s">
        <v>203</v>
      </c>
      <c r="K22" s="97"/>
      <c r="L22" s="97"/>
      <c r="M22" s="97"/>
      <c r="N22" s="26"/>
    </row>
    <row r="23" spans="1:14">
      <c r="A23" s="6" t="s">
        <v>62</v>
      </c>
      <c r="B23" s="3" t="s">
        <v>204</v>
      </c>
      <c r="C23" s="3" t="s">
        <v>81</v>
      </c>
      <c r="D23" s="3"/>
      <c r="E23" s="3" t="s">
        <v>82</v>
      </c>
      <c r="F23" s="3" t="s">
        <v>83</v>
      </c>
      <c r="G23" s="84"/>
      <c r="H23" s="85"/>
      <c r="I23" s="86"/>
      <c r="J23" s="96" t="s">
        <v>205</v>
      </c>
      <c r="K23" s="97"/>
      <c r="L23" s="97"/>
      <c r="M23" s="97"/>
      <c r="N23" s="99"/>
    </row>
    <row r="24" spans="1:14">
      <c r="A24" s="64" t="s">
        <v>97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/>
    </row>
    <row r="25" spans="1:14">
      <c r="A25" s="62" t="s">
        <v>4</v>
      </c>
      <c r="B25" s="54" t="s">
        <v>73</v>
      </c>
      <c r="C25" s="54" t="s">
        <v>98</v>
      </c>
      <c r="D25" s="54" t="s">
        <v>99</v>
      </c>
      <c r="E25" s="54" t="s">
        <v>100</v>
      </c>
      <c r="F25" s="108"/>
      <c r="G25" s="108"/>
      <c r="H25" s="108"/>
      <c r="I25" s="108"/>
      <c r="J25" s="108"/>
      <c r="K25" s="108"/>
      <c r="L25" s="109"/>
      <c r="M25" s="54" t="s">
        <v>101</v>
      </c>
      <c r="N25" s="112"/>
    </row>
    <row r="26" spans="1:14">
      <c r="A26" s="113"/>
      <c r="B26" s="114"/>
      <c r="C26" s="114"/>
      <c r="D26" s="114"/>
      <c r="E26" s="11" t="s">
        <v>73</v>
      </c>
      <c r="F26" s="11" t="s">
        <v>74</v>
      </c>
      <c r="G26" s="11" t="s">
        <v>79</v>
      </c>
      <c r="H26" s="11" t="s">
        <v>102</v>
      </c>
      <c r="I26" s="11" t="s">
        <v>75</v>
      </c>
      <c r="J26" s="54" t="s">
        <v>99</v>
      </c>
      <c r="K26" s="108"/>
      <c r="L26" s="109"/>
      <c r="M26" s="115"/>
      <c r="N26" s="117"/>
    </row>
    <row r="27" spans="1:14">
      <c r="A27" s="6" t="s">
        <v>10</v>
      </c>
      <c r="B27" s="3"/>
      <c r="C27" s="3"/>
      <c r="D27" s="3" t="s">
        <v>103</v>
      </c>
      <c r="E27" s="3"/>
      <c r="F27" s="3"/>
      <c r="G27" s="3"/>
      <c r="H27" s="3"/>
      <c r="I27" s="3"/>
      <c r="J27" s="53"/>
      <c r="K27" s="108"/>
      <c r="L27" s="109"/>
      <c r="M27" s="63"/>
      <c r="N27" s="110"/>
    </row>
    <row r="28" spans="1:14">
      <c r="A28" s="61" t="s">
        <v>104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9"/>
    </row>
    <row r="29" spans="1:14">
      <c r="A29" s="65" t="s">
        <v>4</v>
      </c>
      <c r="B29" s="66" t="s">
        <v>73</v>
      </c>
      <c r="C29" s="66" t="s">
        <v>106</v>
      </c>
      <c r="D29" s="66" t="s">
        <v>107</v>
      </c>
      <c r="E29" s="66" t="s">
        <v>99</v>
      </c>
      <c r="F29" s="66" t="s">
        <v>100</v>
      </c>
      <c r="G29" s="108"/>
      <c r="H29" s="108"/>
      <c r="I29" s="108"/>
      <c r="J29" s="108"/>
      <c r="K29" s="109"/>
      <c r="L29" s="66" t="s">
        <v>108</v>
      </c>
      <c r="M29" s="109"/>
      <c r="N29" s="60" t="s">
        <v>101</v>
      </c>
    </row>
    <row r="30" spans="1:14">
      <c r="A30" s="113"/>
      <c r="B30" s="114"/>
      <c r="C30" s="114"/>
      <c r="D30" s="114"/>
      <c r="E30" s="114"/>
      <c r="F30" s="12" t="s">
        <v>73</v>
      </c>
      <c r="G30" s="12" t="s">
        <v>74</v>
      </c>
      <c r="H30" s="12" t="s">
        <v>79</v>
      </c>
      <c r="I30" s="12" t="s">
        <v>102</v>
      </c>
      <c r="J30" s="12" t="s">
        <v>75</v>
      </c>
      <c r="K30" s="12" t="s">
        <v>99</v>
      </c>
      <c r="L30" s="12" t="s">
        <v>74</v>
      </c>
      <c r="M30" s="12" t="s">
        <v>79</v>
      </c>
      <c r="N30" s="118"/>
    </row>
    <row r="31" spans="1:14">
      <c r="A31" s="6" t="s">
        <v>10</v>
      </c>
      <c r="B31" s="3"/>
      <c r="C31" s="3"/>
      <c r="D31" s="3"/>
      <c r="E31" s="3" t="s">
        <v>109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76" t="s">
        <v>110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9"/>
    </row>
    <row r="33" spans="1:14">
      <c r="A33" s="77" t="s">
        <v>4</v>
      </c>
      <c r="B33" s="70" t="s">
        <v>73</v>
      </c>
      <c r="C33" s="70" t="s">
        <v>111</v>
      </c>
      <c r="D33" s="70" t="s">
        <v>107</v>
      </c>
      <c r="E33" s="70" t="s">
        <v>99</v>
      </c>
      <c r="F33" s="70" t="s">
        <v>100</v>
      </c>
      <c r="G33" s="108"/>
      <c r="H33" s="108"/>
      <c r="I33" s="108"/>
      <c r="J33" s="108"/>
      <c r="K33" s="109"/>
      <c r="L33" s="70" t="s">
        <v>108</v>
      </c>
      <c r="M33" s="109"/>
      <c r="N33" s="75" t="s">
        <v>101</v>
      </c>
    </row>
    <row r="34" spans="1:14">
      <c r="A34" s="113"/>
      <c r="B34" s="114"/>
      <c r="C34" s="114"/>
      <c r="D34" s="114"/>
      <c r="E34" s="114"/>
      <c r="F34" s="13" t="s">
        <v>73</v>
      </c>
      <c r="G34" s="13" t="s">
        <v>74</v>
      </c>
      <c r="H34" s="13" t="s">
        <v>79</v>
      </c>
      <c r="I34" s="13" t="s">
        <v>102</v>
      </c>
      <c r="J34" s="13" t="s">
        <v>75</v>
      </c>
      <c r="K34" s="13" t="s">
        <v>99</v>
      </c>
      <c r="L34" s="13" t="s">
        <v>74</v>
      </c>
      <c r="M34" s="13" t="s">
        <v>79</v>
      </c>
      <c r="N34" s="118"/>
    </row>
    <row r="35" spans="1:14">
      <c r="A35" s="6" t="s">
        <v>62</v>
      </c>
      <c r="B35" s="3" t="s">
        <v>116</v>
      </c>
      <c r="C35" s="3" t="s">
        <v>83</v>
      </c>
      <c r="D35" s="3" t="s">
        <v>113</v>
      </c>
      <c r="E35" s="3" t="s">
        <v>206</v>
      </c>
      <c r="F35" s="3"/>
      <c r="G35" s="3"/>
      <c r="H35" s="3"/>
      <c r="I35" s="3"/>
      <c r="J35" s="3"/>
      <c r="K35" s="3"/>
      <c r="L35" s="3" t="s">
        <v>118</v>
      </c>
      <c r="M35" s="3" t="s">
        <v>119</v>
      </c>
      <c r="N35" s="7"/>
    </row>
  </sheetData>
  <mergeCells count="66">
    <mergeCell ref="A33:A34"/>
    <mergeCell ref="B2:E2"/>
    <mergeCell ref="N29:N30"/>
    <mergeCell ref="A28:N28"/>
    <mergeCell ref="A25:A26"/>
    <mergeCell ref="D33:D34"/>
    <mergeCell ref="F33:K33"/>
    <mergeCell ref="C25:C26"/>
    <mergeCell ref="D25:D26"/>
    <mergeCell ref="E12:E13"/>
    <mergeCell ref="C29:C30"/>
    <mergeCell ref="A32:N32"/>
    <mergeCell ref="B6:E6"/>
    <mergeCell ref="J23:N23"/>
    <mergeCell ref="A1:E1"/>
    <mergeCell ref="A11:N11"/>
    <mergeCell ref="B5:E5"/>
    <mergeCell ref="B4:E4"/>
    <mergeCell ref="A12:A13"/>
    <mergeCell ref="A7:E7"/>
    <mergeCell ref="B9:D9"/>
    <mergeCell ref="B3:E3"/>
    <mergeCell ref="B8:D8"/>
    <mergeCell ref="G12:I13"/>
    <mergeCell ref="G18:I18"/>
    <mergeCell ref="B10:D10"/>
    <mergeCell ref="G14:I14"/>
    <mergeCell ref="J12:N13"/>
    <mergeCell ref="J18:N18"/>
    <mergeCell ref="G15:I15"/>
    <mergeCell ref="J15:N15"/>
    <mergeCell ref="F12:F13"/>
    <mergeCell ref="C12:D12"/>
    <mergeCell ref="B12:B13"/>
    <mergeCell ref="J16:M16"/>
    <mergeCell ref="J17:M17"/>
    <mergeCell ref="C33:C34"/>
    <mergeCell ref="J14:N14"/>
    <mergeCell ref="E33:E34"/>
    <mergeCell ref="B33:B34"/>
    <mergeCell ref="L29:M29"/>
    <mergeCell ref="N33:N34"/>
    <mergeCell ref="B29:B30"/>
    <mergeCell ref="J27:L27"/>
    <mergeCell ref="D29:D30"/>
    <mergeCell ref="B25:B26"/>
    <mergeCell ref="A24:N24"/>
    <mergeCell ref="F29:K29"/>
    <mergeCell ref="A29:A30"/>
    <mergeCell ref="L33:M33"/>
    <mergeCell ref="M25:N26"/>
    <mergeCell ref="J19:N19"/>
    <mergeCell ref="M27:N27"/>
    <mergeCell ref="E29:E30"/>
    <mergeCell ref="G16:I16"/>
    <mergeCell ref="G17:I17"/>
    <mergeCell ref="G20:I20"/>
    <mergeCell ref="G21:I21"/>
    <mergeCell ref="G22:I22"/>
    <mergeCell ref="G23:I23"/>
    <mergeCell ref="J20:M20"/>
    <mergeCell ref="J26:L26"/>
    <mergeCell ref="E25:L25"/>
    <mergeCell ref="G19:I19"/>
    <mergeCell ref="J21:M21"/>
    <mergeCell ref="J22:M22"/>
  </mergeCells>
  <hyperlinks>
    <hyperlink ref="A1" location="'Clases'!A1" display="&lt;-Volver al inicio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9"/>
  <sheetViews>
    <sheetView topLeftCell="C5" workbookViewId="0">
      <selection activeCell="F9" sqref="F9"/>
    </sheetView>
  </sheetViews>
  <sheetFormatPr defaultColWidth="19.7109375" defaultRowHeight="15"/>
  <cols>
    <col min="1" max="1" width="28.7109375" style="1" customWidth="1"/>
    <col min="2" max="2" width="22.28515625" style="1" customWidth="1"/>
    <col min="3" max="3" width="27.140625" style="1" bestFit="1" customWidth="1"/>
    <col min="4" max="4" width="47.28515625" style="1" customWidth="1"/>
    <col min="5" max="5" width="99.855468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Clases!A12</f>
        <v>AirlineRoute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Clases!C12</f>
        <v>Estructura que representa una ruta aérea operada por una aerolínea específica, incluyendo los datos de la ruta, la aerolínea asignada y el estado de operación.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145</v>
      </c>
      <c r="C9" s="108"/>
      <c r="D9" s="109"/>
      <c r="E9" s="42" t="str">
        <f>HYPERLINK("#'"&amp;F9&amp;"'!A1", F9)</f>
        <v>Route</v>
      </c>
      <c r="F9" s="44" t="s">
        <v>27</v>
      </c>
    </row>
    <row r="10" spans="1:14">
      <c r="A10" s="9" t="s">
        <v>164</v>
      </c>
      <c r="B10" s="53" t="s">
        <v>145</v>
      </c>
      <c r="C10" s="108"/>
      <c r="D10" s="109"/>
      <c r="E10" s="42" t="str">
        <f t="shared" ref="E10:E11" si="0">HYPERLINK("#'"&amp;F10&amp;"'!A1", F10)</f>
        <v>Airline</v>
      </c>
      <c r="F10" s="44" t="s">
        <v>11</v>
      </c>
    </row>
    <row r="11" spans="1:14" ht="15.75" customHeight="1" thickBot="1">
      <c r="A11" s="9" t="s">
        <v>120</v>
      </c>
      <c r="B11" s="53" t="s">
        <v>145</v>
      </c>
      <c r="C11" s="108"/>
      <c r="D11" s="109"/>
      <c r="E11" s="42" t="str">
        <f t="shared" si="0"/>
        <v>DailyLogbookDetail</v>
      </c>
      <c r="F11" s="44" t="s">
        <v>33</v>
      </c>
    </row>
    <row r="12" spans="1:14">
      <c r="A12" s="52" t="s">
        <v>72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7"/>
    </row>
    <row r="13" spans="1:14">
      <c r="A13" s="56" t="s">
        <v>4</v>
      </c>
      <c r="B13" s="55" t="s">
        <v>73</v>
      </c>
      <c r="C13" s="55" t="s">
        <v>74</v>
      </c>
      <c r="D13" s="109"/>
      <c r="E13" s="55" t="s">
        <v>75</v>
      </c>
      <c r="F13" s="55" t="s">
        <v>76</v>
      </c>
      <c r="G13" s="55" t="s">
        <v>77</v>
      </c>
      <c r="H13" s="111"/>
      <c r="I13" s="112"/>
      <c r="J13" s="55" t="s">
        <v>78</v>
      </c>
      <c r="K13" s="111"/>
      <c r="L13" s="111"/>
      <c r="M13" s="111"/>
      <c r="N13" s="112"/>
    </row>
    <row r="14" spans="1:14">
      <c r="A14" s="113"/>
      <c r="B14" s="114"/>
      <c r="C14" s="10" t="s">
        <v>74</v>
      </c>
      <c r="D14" s="10" t="s">
        <v>79</v>
      </c>
      <c r="E14" s="114"/>
      <c r="F14" s="114"/>
      <c r="G14" s="115"/>
      <c r="H14" s="116"/>
      <c r="I14" s="117"/>
      <c r="J14" s="115"/>
      <c r="K14" s="116"/>
      <c r="L14" s="116"/>
      <c r="M14" s="116"/>
      <c r="N14" s="117"/>
    </row>
    <row r="15" spans="1:14">
      <c r="A15" s="6" t="s">
        <v>62</v>
      </c>
      <c r="B15" s="3" t="s">
        <v>80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98" t="s">
        <v>207</v>
      </c>
      <c r="K15" s="108"/>
      <c r="L15" s="108"/>
      <c r="M15" s="108"/>
      <c r="N15" s="109"/>
    </row>
    <row r="16" spans="1:14">
      <c r="A16" s="6" t="s">
        <v>62</v>
      </c>
      <c r="B16" s="3" t="s">
        <v>208</v>
      </c>
      <c r="C16" s="3" t="s">
        <v>81</v>
      </c>
      <c r="D16" s="3"/>
      <c r="E16" s="3" t="s">
        <v>113</v>
      </c>
      <c r="F16" s="3" t="s">
        <v>83</v>
      </c>
      <c r="G16" s="53"/>
      <c r="H16" s="108"/>
      <c r="I16" s="109"/>
      <c r="J16" s="98" t="s">
        <v>209</v>
      </c>
      <c r="K16" s="108"/>
      <c r="L16" s="108"/>
      <c r="M16" s="108"/>
      <c r="N16" s="109"/>
    </row>
    <row r="17" spans="1:14">
      <c r="A17" s="6" t="s">
        <v>62</v>
      </c>
      <c r="B17" s="3" t="s">
        <v>131</v>
      </c>
      <c r="C17" s="3" t="s">
        <v>81</v>
      </c>
      <c r="D17" s="3"/>
      <c r="E17" s="3" t="s">
        <v>113</v>
      </c>
      <c r="F17" s="3" t="s">
        <v>83</v>
      </c>
      <c r="G17" s="53"/>
      <c r="H17" s="108"/>
      <c r="I17" s="109"/>
      <c r="J17" s="98" t="s">
        <v>132</v>
      </c>
      <c r="K17" s="108"/>
      <c r="L17" s="108"/>
      <c r="M17" s="108"/>
      <c r="N17" s="109"/>
    </row>
    <row r="18" spans="1:14">
      <c r="A18" s="6" t="s">
        <v>62</v>
      </c>
      <c r="B18" s="3" t="s">
        <v>126</v>
      </c>
      <c r="C18" s="3" t="s">
        <v>141</v>
      </c>
      <c r="D18" s="3"/>
      <c r="E18" s="3" t="s">
        <v>113</v>
      </c>
      <c r="F18" s="3" t="s">
        <v>83</v>
      </c>
      <c r="G18" s="84"/>
      <c r="H18" s="85"/>
      <c r="I18" s="86"/>
      <c r="J18" s="96" t="s">
        <v>210</v>
      </c>
      <c r="K18" s="97"/>
      <c r="L18" s="97"/>
      <c r="M18" s="97"/>
      <c r="N18" s="99"/>
    </row>
    <row r="19" spans="1:14">
      <c r="A19" s="6" t="s">
        <v>62</v>
      </c>
      <c r="B19" s="3" t="s">
        <v>196</v>
      </c>
      <c r="C19" s="3" t="s">
        <v>81</v>
      </c>
      <c r="D19" s="3"/>
      <c r="E19" s="3" t="s">
        <v>113</v>
      </c>
      <c r="F19" s="3" t="s">
        <v>83</v>
      </c>
      <c r="G19" s="84"/>
      <c r="H19" s="85"/>
      <c r="I19" s="86"/>
      <c r="J19" s="96" t="s">
        <v>211</v>
      </c>
      <c r="K19" s="97"/>
      <c r="L19" s="97"/>
      <c r="M19" s="97"/>
      <c r="N19" s="99"/>
    </row>
    <row r="20" spans="1:14">
      <c r="A20" s="6" t="s">
        <v>62</v>
      </c>
      <c r="B20" s="3" t="s">
        <v>200</v>
      </c>
      <c r="C20" s="3" t="s">
        <v>81</v>
      </c>
      <c r="D20" s="3"/>
      <c r="E20" s="3" t="s">
        <v>113</v>
      </c>
      <c r="F20" s="3" t="s">
        <v>83</v>
      </c>
      <c r="G20" s="84"/>
      <c r="H20" s="85"/>
      <c r="I20" s="86"/>
      <c r="J20" s="96" t="s">
        <v>212</v>
      </c>
      <c r="K20" s="97"/>
      <c r="L20" s="97"/>
      <c r="M20" s="97"/>
      <c r="N20" s="99"/>
    </row>
    <row r="21" spans="1:14">
      <c r="A21" s="6" t="s">
        <v>62</v>
      </c>
      <c r="B21" s="3" t="s">
        <v>204</v>
      </c>
      <c r="C21" s="3" t="s">
        <v>81</v>
      </c>
      <c r="D21" s="3"/>
      <c r="E21" s="3" t="s">
        <v>113</v>
      </c>
      <c r="F21" s="3" t="s">
        <v>83</v>
      </c>
      <c r="G21" s="84"/>
      <c r="H21" s="85"/>
      <c r="I21" s="86"/>
      <c r="J21" s="96" t="s">
        <v>213</v>
      </c>
      <c r="K21" s="97"/>
      <c r="L21" s="97"/>
      <c r="M21" s="97"/>
      <c r="N21" s="99"/>
    </row>
    <row r="22" spans="1:14">
      <c r="A22" s="6" t="s">
        <v>62</v>
      </c>
      <c r="B22" s="3" t="s">
        <v>198</v>
      </c>
      <c r="C22" s="3" t="s">
        <v>81</v>
      </c>
      <c r="D22" s="3"/>
      <c r="E22" s="3" t="s">
        <v>113</v>
      </c>
      <c r="F22" s="3" t="s">
        <v>83</v>
      </c>
      <c r="G22" s="84"/>
      <c r="H22" s="85"/>
      <c r="I22" s="86"/>
      <c r="J22" s="96" t="s">
        <v>214</v>
      </c>
      <c r="K22" s="97"/>
      <c r="L22" s="97"/>
      <c r="M22" s="97"/>
      <c r="N22" s="99"/>
    </row>
    <row r="23" spans="1:14">
      <c r="A23" s="6" t="s">
        <v>62</v>
      </c>
      <c r="B23" s="3" t="s">
        <v>202</v>
      </c>
      <c r="C23" s="3" t="s">
        <v>81</v>
      </c>
      <c r="D23" s="3"/>
      <c r="E23" s="3" t="s">
        <v>113</v>
      </c>
      <c r="F23" s="3" t="s">
        <v>83</v>
      </c>
      <c r="G23" s="84"/>
      <c r="H23" s="85"/>
      <c r="I23" s="86"/>
      <c r="J23" s="96" t="s">
        <v>215</v>
      </c>
      <c r="K23" s="97"/>
      <c r="L23" s="97"/>
      <c r="M23" s="97"/>
      <c r="N23" s="99"/>
    </row>
    <row r="24" spans="1:14">
      <c r="A24" s="6" t="s">
        <v>62</v>
      </c>
      <c r="B24" s="3" t="s">
        <v>151</v>
      </c>
      <c r="C24" s="3" t="s">
        <v>81</v>
      </c>
      <c r="D24" s="3"/>
      <c r="E24" s="3" t="s">
        <v>113</v>
      </c>
      <c r="F24" s="3" t="s">
        <v>83</v>
      </c>
      <c r="G24" s="84"/>
      <c r="H24" s="85"/>
      <c r="I24" s="86"/>
      <c r="J24" s="96" t="s">
        <v>216</v>
      </c>
      <c r="K24" s="97"/>
      <c r="L24" s="97"/>
      <c r="M24" s="97"/>
      <c r="N24" s="99"/>
    </row>
    <row r="25" spans="1:14">
      <c r="A25" s="6" t="s">
        <v>62</v>
      </c>
      <c r="B25" s="3" t="s">
        <v>194</v>
      </c>
      <c r="C25" s="3" t="s">
        <v>81</v>
      </c>
      <c r="D25" s="3"/>
      <c r="E25" s="3" t="s">
        <v>113</v>
      </c>
      <c r="F25" s="3" t="s">
        <v>83</v>
      </c>
      <c r="G25" s="84"/>
      <c r="H25" s="85"/>
      <c r="I25" s="86"/>
      <c r="J25" s="96" t="s">
        <v>217</v>
      </c>
      <c r="K25" s="97"/>
      <c r="L25" s="97"/>
      <c r="M25" s="97"/>
      <c r="N25" s="99"/>
    </row>
    <row r="26" spans="1:14">
      <c r="A26" s="6" t="s">
        <v>62</v>
      </c>
      <c r="B26" s="3" t="s">
        <v>124</v>
      </c>
      <c r="C26" s="3" t="s">
        <v>81</v>
      </c>
      <c r="D26" s="3"/>
      <c r="E26" s="3" t="s">
        <v>113</v>
      </c>
      <c r="F26" s="3" t="s">
        <v>83</v>
      </c>
      <c r="G26" s="84"/>
      <c r="H26" s="85"/>
      <c r="I26" s="86"/>
      <c r="J26" s="96" t="s">
        <v>218</v>
      </c>
      <c r="K26" s="97"/>
      <c r="L26" s="97"/>
      <c r="M26" s="97"/>
      <c r="N26" s="99"/>
    </row>
    <row r="27" spans="1:14">
      <c r="A27" s="6" t="s">
        <v>62</v>
      </c>
      <c r="B27" s="3" t="s">
        <v>122</v>
      </c>
      <c r="C27" s="3" t="s">
        <v>81</v>
      </c>
      <c r="D27" s="3"/>
      <c r="E27" s="3" t="s">
        <v>113</v>
      </c>
      <c r="F27" s="3" t="s">
        <v>83</v>
      </c>
      <c r="G27" s="53"/>
      <c r="H27" s="108"/>
      <c r="I27" s="109"/>
      <c r="J27" s="98" t="s">
        <v>186</v>
      </c>
      <c r="K27" s="108"/>
      <c r="L27" s="108"/>
      <c r="M27" s="108"/>
      <c r="N27" s="109"/>
    </row>
    <row r="28" spans="1:14">
      <c r="A28" s="64" t="s">
        <v>97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9"/>
    </row>
    <row r="29" spans="1:14">
      <c r="A29" s="62" t="s">
        <v>4</v>
      </c>
      <c r="B29" s="54" t="s">
        <v>73</v>
      </c>
      <c r="C29" s="54" t="s">
        <v>98</v>
      </c>
      <c r="D29" s="54" t="s">
        <v>99</v>
      </c>
      <c r="E29" s="54" t="s">
        <v>100</v>
      </c>
      <c r="F29" s="108"/>
      <c r="G29" s="108"/>
      <c r="H29" s="108"/>
      <c r="I29" s="108"/>
      <c r="J29" s="108"/>
      <c r="K29" s="108"/>
      <c r="L29" s="109"/>
      <c r="M29" s="54" t="s">
        <v>101</v>
      </c>
      <c r="N29" s="112"/>
    </row>
    <row r="30" spans="1:14">
      <c r="A30" s="113"/>
      <c r="B30" s="114"/>
      <c r="C30" s="114"/>
      <c r="D30" s="114"/>
      <c r="E30" s="11" t="s">
        <v>73</v>
      </c>
      <c r="F30" s="11" t="s">
        <v>74</v>
      </c>
      <c r="G30" s="11" t="s">
        <v>79</v>
      </c>
      <c r="H30" s="11" t="s">
        <v>102</v>
      </c>
      <c r="I30" s="11" t="s">
        <v>75</v>
      </c>
      <c r="J30" s="54" t="s">
        <v>99</v>
      </c>
      <c r="K30" s="108"/>
      <c r="L30" s="109"/>
      <c r="M30" s="115"/>
      <c r="N30" s="117"/>
    </row>
    <row r="31" spans="1:14">
      <c r="A31" s="6" t="s">
        <v>10</v>
      </c>
      <c r="B31" s="3"/>
      <c r="C31" s="3"/>
      <c r="D31" s="3" t="s">
        <v>103</v>
      </c>
      <c r="E31" s="3"/>
      <c r="F31" s="3"/>
      <c r="G31" s="3"/>
      <c r="H31" s="3"/>
      <c r="I31" s="3"/>
      <c r="J31" s="53"/>
      <c r="K31" s="108"/>
      <c r="L31" s="109"/>
      <c r="M31" s="63"/>
      <c r="N31" s="110"/>
    </row>
    <row r="32" spans="1:14">
      <c r="A32" s="61" t="s">
        <v>104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9"/>
    </row>
    <row r="33" spans="1:14">
      <c r="A33" s="65" t="s">
        <v>4</v>
      </c>
      <c r="B33" s="66" t="s">
        <v>73</v>
      </c>
      <c r="C33" s="66" t="s">
        <v>106</v>
      </c>
      <c r="D33" s="66" t="s">
        <v>107</v>
      </c>
      <c r="E33" s="66" t="s">
        <v>99</v>
      </c>
      <c r="F33" s="66" t="s">
        <v>100</v>
      </c>
      <c r="G33" s="108"/>
      <c r="H33" s="108"/>
      <c r="I33" s="108"/>
      <c r="J33" s="108"/>
      <c r="K33" s="109"/>
      <c r="L33" s="66" t="s">
        <v>108</v>
      </c>
      <c r="M33" s="109"/>
      <c r="N33" s="60" t="s">
        <v>101</v>
      </c>
    </row>
    <row r="34" spans="1:14">
      <c r="A34" s="113"/>
      <c r="B34" s="114"/>
      <c r="C34" s="114"/>
      <c r="D34" s="114"/>
      <c r="E34" s="114"/>
      <c r="F34" s="12" t="s">
        <v>73</v>
      </c>
      <c r="G34" s="12" t="s">
        <v>74</v>
      </c>
      <c r="H34" s="12" t="s">
        <v>79</v>
      </c>
      <c r="I34" s="12" t="s">
        <v>102</v>
      </c>
      <c r="J34" s="12" t="s">
        <v>75</v>
      </c>
      <c r="K34" s="12" t="s">
        <v>99</v>
      </c>
      <c r="L34" s="12" t="s">
        <v>74</v>
      </c>
      <c r="M34" s="12" t="s">
        <v>79</v>
      </c>
      <c r="N34" s="118"/>
    </row>
    <row r="35" spans="1:14">
      <c r="A35" s="6" t="s">
        <v>10</v>
      </c>
      <c r="B35" s="3"/>
      <c r="C35" s="3"/>
      <c r="D35" s="3"/>
      <c r="E35" s="3" t="s">
        <v>109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76" t="s">
        <v>110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9"/>
    </row>
    <row r="37" spans="1:14">
      <c r="A37" s="77" t="s">
        <v>4</v>
      </c>
      <c r="B37" s="70" t="s">
        <v>73</v>
      </c>
      <c r="C37" s="70" t="s">
        <v>111</v>
      </c>
      <c r="D37" s="70" t="s">
        <v>107</v>
      </c>
      <c r="E37" s="70" t="s">
        <v>99</v>
      </c>
      <c r="F37" s="70" t="s">
        <v>100</v>
      </c>
      <c r="G37" s="108"/>
      <c r="H37" s="108"/>
      <c r="I37" s="108"/>
      <c r="J37" s="108"/>
      <c r="K37" s="109"/>
      <c r="L37" s="70" t="s">
        <v>108</v>
      </c>
      <c r="M37" s="109"/>
      <c r="N37" s="75" t="s">
        <v>101</v>
      </c>
    </row>
    <row r="38" spans="1:14">
      <c r="A38" s="113"/>
      <c r="B38" s="114"/>
      <c r="C38" s="114"/>
      <c r="D38" s="114"/>
      <c r="E38" s="114"/>
      <c r="F38" s="13" t="s">
        <v>73</v>
      </c>
      <c r="G38" s="13" t="s">
        <v>74</v>
      </c>
      <c r="H38" s="13" t="s">
        <v>79</v>
      </c>
      <c r="I38" s="13" t="s">
        <v>102</v>
      </c>
      <c r="J38" s="13" t="s">
        <v>75</v>
      </c>
      <c r="K38" s="13" t="s">
        <v>99</v>
      </c>
      <c r="L38" s="13" t="s">
        <v>74</v>
      </c>
      <c r="M38" s="13" t="s">
        <v>79</v>
      </c>
      <c r="N38" s="118"/>
    </row>
    <row r="39" spans="1:14">
      <c r="A39" s="6" t="s">
        <v>62</v>
      </c>
      <c r="B39" s="3" t="s">
        <v>219</v>
      </c>
      <c r="C39" s="3" t="s">
        <v>83</v>
      </c>
      <c r="D39" s="3" t="s">
        <v>82</v>
      </c>
      <c r="E39" s="3" t="s">
        <v>220</v>
      </c>
      <c r="F39" s="3"/>
      <c r="G39" s="3"/>
      <c r="H39" s="3"/>
      <c r="I39" s="3"/>
      <c r="J39" s="3"/>
      <c r="K39" s="3"/>
      <c r="L39" s="3" t="s">
        <v>118</v>
      </c>
      <c r="M39" s="3" t="s">
        <v>119</v>
      </c>
      <c r="N39" s="7"/>
    </row>
  </sheetData>
  <mergeCells count="73">
    <mergeCell ref="J23:N23"/>
    <mergeCell ref="J24:N24"/>
    <mergeCell ref="J25:N25"/>
    <mergeCell ref="J26:N26"/>
    <mergeCell ref="J18:N18"/>
    <mergeCell ref="J19:N19"/>
    <mergeCell ref="J20:N20"/>
    <mergeCell ref="J21:N21"/>
    <mergeCell ref="J22:N22"/>
    <mergeCell ref="L37:M37"/>
    <mergeCell ref="M29:N30"/>
    <mergeCell ref="J17:N17"/>
    <mergeCell ref="A37:A38"/>
    <mergeCell ref="B2:E2"/>
    <mergeCell ref="N33:N34"/>
    <mergeCell ref="A32:N32"/>
    <mergeCell ref="A29:A30"/>
    <mergeCell ref="D37:D38"/>
    <mergeCell ref="F37:K37"/>
    <mergeCell ref="C29:C30"/>
    <mergeCell ref="D29:D30"/>
    <mergeCell ref="E13:E14"/>
    <mergeCell ref="G27:I27"/>
    <mergeCell ref="C33:C34"/>
    <mergeCell ref="A36:N36"/>
    <mergeCell ref="A1:E1"/>
    <mergeCell ref="A12:N12"/>
    <mergeCell ref="B5:E5"/>
    <mergeCell ref="J30:L30"/>
    <mergeCell ref="G13:I14"/>
    <mergeCell ref="G16:I16"/>
    <mergeCell ref="B11:D11"/>
    <mergeCell ref="G15:I15"/>
    <mergeCell ref="B4:E4"/>
    <mergeCell ref="J13:N14"/>
    <mergeCell ref="A13:A14"/>
    <mergeCell ref="J16:N16"/>
    <mergeCell ref="A7:E7"/>
    <mergeCell ref="B9:D9"/>
    <mergeCell ref="B3:E3"/>
    <mergeCell ref="E29:L29"/>
    <mergeCell ref="B6:E6"/>
    <mergeCell ref="F13:F14"/>
    <mergeCell ref="C37:C38"/>
    <mergeCell ref="J15:N15"/>
    <mergeCell ref="E37:E38"/>
    <mergeCell ref="B37:B38"/>
    <mergeCell ref="L33:M33"/>
    <mergeCell ref="N37:N38"/>
    <mergeCell ref="B33:B34"/>
    <mergeCell ref="J31:L31"/>
    <mergeCell ref="D33:D34"/>
    <mergeCell ref="B29:B30"/>
    <mergeCell ref="A28:N28"/>
    <mergeCell ref="C13:D13"/>
    <mergeCell ref="J27:N27"/>
    <mergeCell ref="F33:K33"/>
    <mergeCell ref="A33:A34"/>
    <mergeCell ref="B13:B14"/>
    <mergeCell ref="B8:D8"/>
    <mergeCell ref="G17:I17"/>
    <mergeCell ref="M31:N31"/>
    <mergeCell ref="E33:E34"/>
    <mergeCell ref="B10:D10"/>
    <mergeCell ref="G18:I18"/>
    <mergeCell ref="G19:I19"/>
    <mergeCell ref="G21:I21"/>
    <mergeCell ref="G22:I22"/>
    <mergeCell ref="G23:I23"/>
    <mergeCell ref="G24:I24"/>
    <mergeCell ref="G25:I25"/>
    <mergeCell ref="G26:I26"/>
    <mergeCell ref="G20:I20"/>
  </mergeCells>
  <hyperlinks>
    <hyperlink ref="A1" location="'Clases'!A1" display="&lt;-Volver al inicio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3"/>
  <sheetViews>
    <sheetView topLeftCell="A8" workbookViewId="0">
      <selection activeCell="B9" sqref="B9:D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7" style="1" customWidth="1"/>
    <col min="5" max="5" width="80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9" width="29.140625" style="1" customWidth="1"/>
    <col min="10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Clases!A13</f>
        <v>DailyLogbook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Clases!C13</f>
        <v>Estructura que representa una página diaria de la bitácora de vuelo de un piloto, con la fecha del registro, la página del libro y su estado.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70</v>
      </c>
      <c r="B9" s="53" t="s">
        <v>69</v>
      </c>
      <c r="C9" s="108"/>
      <c r="D9" s="109"/>
      <c r="E9" s="42" t="str">
        <f>HYPERLINK("#'"&amp;F9&amp;"'!A1", F9)</f>
        <v>Employee</v>
      </c>
      <c r="F9" s="44" t="s">
        <v>6</v>
      </c>
    </row>
    <row r="10" spans="1:14" ht="15.75" customHeight="1" thickBot="1">
      <c r="A10" s="9" t="s">
        <v>68</v>
      </c>
      <c r="B10" s="87" t="s">
        <v>69</v>
      </c>
      <c r="C10" s="111"/>
      <c r="D10" s="112"/>
      <c r="E10" s="42" t="str">
        <f>HYPERLINK("#'"&amp;F10&amp;"'!A1", F10)</f>
        <v>DailyLogbookDetail</v>
      </c>
      <c r="F10" s="44" t="s">
        <v>33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80</v>
      </c>
      <c r="C14" s="3" t="s">
        <v>81</v>
      </c>
      <c r="D14" s="3"/>
      <c r="E14" s="3" t="s">
        <v>82</v>
      </c>
      <c r="F14" s="3" t="s">
        <v>83</v>
      </c>
      <c r="G14" s="53"/>
      <c r="H14" s="108"/>
      <c r="I14" s="109"/>
      <c r="J14" s="53" t="s">
        <v>221</v>
      </c>
      <c r="K14" s="108"/>
      <c r="L14" s="108"/>
      <c r="M14" s="108"/>
      <c r="N14" s="109"/>
    </row>
    <row r="15" spans="1:14">
      <c r="A15" s="6" t="s">
        <v>62</v>
      </c>
      <c r="B15" s="3" t="s">
        <v>222</v>
      </c>
      <c r="C15" s="3" t="s">
        <v>136</v>
      </c>
      <c r="D15" s="3"/>
      <c r="E15" s="3" t="s">
        <v>82</v>
      </c>
      <c r="F15" s="3" t="s">
        <v>83</v>
      </c>
      <c r="G15" s="53"/>
      <c r="H15" s="108"/>
      <c r="I15" s="109"/>
      <c r="J15" s="53" t="s">
        <v>223</v>
      </c>
      <c r="K15" s="108"/>
      <c r="L15" s="108"/>
      <c r="M15" s="108"/>
      <c r="N15" s="109"/>
    </row>
    <row r="16" spans="1:14">
      <c r="A16" s="6" t="s">
        <v>62</v>
      </c>
      <c r="B16" s="3" t="s">
        <v>224</v>
      </c>
      <c r="C16" s="3" t="s">
        <v>81</v>
      </c>
      <c r="D16" s="3"/>
      <c r="E16" s="3" t="s">
        <v>82</v>
      </c>
      <c r="F16" s="3" t="s">
        <v>83</v>
      </c>
      <c r="G16" s="53"/>
      <c r="H16" s="108"/>
      <c r="I16" s="109"/>
      <c r="J16" s="53" t="s">
        <v>225</v>
      </c>
      <c r="K16" s="108"/>
      <c r="L16" s="108"/>
      <c r="M16" s="108"/>
      <c r="N16" s="109"/>
    </row>
    <row r="17" spans="1:14">
      <c r="A17" s="6" t="s">
        <v>62</v>
      </c>
      <c r="B17" s="3" t="s">
        <v>226</v>
      </c>
      <c r="C17" s="3" t="s">
        <v>227</v>
      </c>
      <c r="D17" s="3"/>
      <c r="E17" s="3" t="s">
        <v>82</v>
      </c>
      <c r="F17" s="3" t="s">
        <v>83</v>
      </c>
      <c r="G17" s="84"/>
      <c r="H17" s="85"/>
      <c r="I17" s="86"/>
      <c r="J17" s="67" t="s">
        <v>228</v>
      </c>
      <c r="K17" s="68"/>
      <c r="L17" s="25"/>
      <c r="M17" s="25"/>
      <c r="N17" s="26"/>
    </row>
    <row r="18" spans="1:14">
      <c r="A18" s="6" t="s">
        <v>62</v>
      </c>
      <c r="B18" s="3" t="s">
        <v>126</v>
      </c>
      <c r="C18" s="3" t="s">
        <v>141</v>
      </c>
      <c r="D18" s="3"/>
      <c r="E18" s="3" t="s">
        <v>82</v>
      </c>
      <c r="F18" s="3" t="s">
        <v>83</v>
      </c>
      <c r="G18" s="53"/>
      <c r="H18" s="108"/>
      <c r="I18" s="109"/>
      <c r="J18" s="53" t="s">
        <v>229</v>
      </c>
      <c r="K18" s="108"/>
      <c r="L18" s="108"/>
      <c r="M18" s="108"/>
      <c r="N18" s="109"/>
    </row>
    <row r="19" spans="1:14">
      <c r="A19" s="64" t="s">
        <v>97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/>
    </row>
    <row r="20" spans="1:14">
      <c r="A20" s="62" t="s">
        <v>4</v>
      </c>
      <c r="B20" s="54" t="s">
        <v>73</v>
      </c>
      <c r="C20" s="54" t="s">
        <v>98</v>
      </c>
      <c r="D20" s="54" t="s">
        <v>99</v>
      </c>
      <c r="E20" s="54" t="s">
        <v>100</v>
      </c>
      <c r="F20" s="108"/>
      <c r="G20" s="108"/>
      <c r="H20" s="108"/>
      <c r="I20" s="108"/>
      <c r="J20" s="108"/>
      <c r="K20" s="108"/>
      <c r="L20" s="109"/>
      <c r="M20" s="54" t="s">
        <v>101</v>
      </c>
      <c r="N20" s="112"/>
    </row>
    <row r="21" spans="1:14">
      <c r="A21" s="113"/>
      <c r="B21" s="114"/>
      <c r="C21" s="114"/>
      <c r="D21" s="114"/>
      <c r="E21" s="11" t="s">
        <v>73</v>
      </c>
      <c r="F21" s="11" t="s">
        <v>74</v>
      </c>
      <c r="G21" s="11" t="s">
        <v>79</v>
      </c>
      <c r="H21" s="11" t="s">
        <v>102</v>
      </c>
      <c r="I21" s="11" t="s">
        <v>75</v>
      </c>
      <c r="J21" s="54" t="s">
        <v>99</v>
      </c>
      <c r="K21" s="108"/>
      <c r="L21" s="109"/>
      <c r="M21" s="115"/>
      <c r="N21" s="117"/>
    </row>
    <row r="22" spans="1:14">
      <c r="A22" s="6" t="s">
        <v>10</v>
      </c>
      <c r="B22" s="3"/>
      <c r="C22" s="3"/>
      <c r="D22" s="3" t="s">
        <v>103</v>
      </c>
      <c r="E22" s="3"/>
      <c r="F22" s="3"/>
      <c r="G22" s="3"/>
      <c r="H22" s="3"/>
      <c r="I22" s="3"/>
      <c r="J22" s="53"/>
      <c r="K22" s="108"/>
      <c r="L22" s="109"/>
      <c r="M22" s="63"/>
      <c r="N22" s="110"/>
    </row>
    <row r="23" spans="1:14">
      <c r="A23" s="61" t="s">
        <v>104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65" t="s">
        <v>4</v>
      </c>
      <c r="B24" s="66" t="s">
        <v>73</v>
      </c>
      <c r="C24" s="66" t="s">
        <v>106</v>
      </c>
      <c r="D24" s="66" t="s">
        <v>107</v>
      </c>
      <c r="E24" s="66" t="s">
        <v>99</v>
      </c>
      <c r="F24" s="66" t="s">
        <v>100</v>
      </c>
      <c r="G24" s="108"/>
      <c r="H24" s="108"/>
      <c r="I24" s="108"/>
      <c r="J24" s="108"/>
      <c r="K24" s="109"/>
      <c r="L24" s="66" t="s">
        <v>108</v>
      </c>
      <c r="M24" s="109"/>
      <c r="N24" s="60" t="s">
        <v>101</v>
      </c>
    </row>
    <row r="25" spans="1:14">
      <c r="A25" s="113"/>
      <c r="B25" s="114"/>
      <c r="C25" s="114"/>
      <c r="D25" s="114"/>
      <c r="E25" s="114"/>
      <c r="F25" s="12" t="s">
        <v>73</v>
      </c>
      <c r="G25" s="12" t="s">
        <v>74</v>
      </c>
      <c r="H25" s="12" t="s">
        <v>79</v>
      </c>
      <c r="I25" s="12" t="s">
        <v>102</v>
      </c>
      <c r="J25" s="12" t="s">
        <v>75</v>
      </c>
      <c r="K25" s="12" t="s">
        <v>99</v>
      </c>
      <c r="L25" s="12" t="s">
        <v>74</v>
      </c>
      <c r="M25" s="12" t="s">
        <v>79</v>
      </c>
      <c r="N25" s="118"/>
    </row>
    <row r="26" spans="1:14">
      <c r="A26" s="6" t="s">
        <v>10</v>
      </c>
      <c r="B26" s="3"/>
      <c r="C26" s="3"/>
      <c r="D26" s="3"/>
      <c r="E26" s="3" t="s">
        <v>109</v>
      </c>
      <c r="F26" s="3"/>
      <c r="G26" s="3"/>
      <c r="H26" s="3"/>
      <c r="I26" s="3"/>
      <c r="J26" s="3"/>
      <c r="K26" s="3"/>
      <c r="L26" s="3"/>
      <c r="M26" s="3"/>
      <c r="N26" s="7"/>
    </row>
    <row r="27" spans="1:14">
      <c r="A27" s="76" t="s">
        <v>110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/>
    </row>
    <row r="28" spans="1:14">
      <c r="A28" s="77" t="s">
        <v>4</v>
      </c>
      <c r="B28" s="70" t="s">
        <v>73</v>
      </c>
      <c r="C28" s="70" t="s">
        <v>111</v>
      </c>
      <c r="D28" s="70" t="s">
        <v>107</v>
      </c>
      <c r="E28" s="70" t="s">
        <v>99</v>
      </c>
      <c r="F28" s="70" t="s">
        <v>100</v>
      </c>
      <c r="G28" s="108"/>
      <c r="H28" s="108"/>
      <c r="I28" s="108"/>
      <c r="J28" s="108"/>
      <c r="K28" s="109"/>
      <c r="L28" s="70" t="s">
        <v>108</v>
      </c>
      <c r="M28" s="109"/>
      <c r="N28" s="75" t="s">
        <v>101</v>
      </c>
    </row>
    <row r="29" spans="1:14">
      <c r="A29" s="113"/>
      <c r="B29" s="114"/>
      <c r="C29" s="114"/>
      <c r="D29" s="114"/>
      <c r="E29" s="114"/>
      <c r="F29" s="13" t="s">
        <v>73</v>
      </c>
      <c r="G29" s="13" t="s">
        <v>74</v>
      </c>
      <c r="H29" s="13" t="s">
        <v>79</v>
      </c>
      <c r="I29" s="13" t="s">
        <v>102</v>
      </c>
      <c r="J29" s="13" t="s">
        <v>75</v>
      </c>
      <c r="K29" s="13" t="s">
        <v>99</v>
      </c>
      <c r="L29" s="13" t="s">
        <v>74</v>
      </c>
      <c r="M29" s="13" t="s">
        <v>79</v>
      </c>
      <c r="N29" s="118"/>
    </row>
    <row r="30" spans="1:14">
      <c r="A30" s="6" t="s">
        <v>9</v>
      </c>
      <c r="B30" s="3" t="s">
        <v>112</v>
      </c>
      <c r="C30" s="3" t="s">
        <v>83</v>
      </c>
      <c r="D30" s="3" t="s">
        <v>82</v>
      </c>
      <c r="E30" s="3" t="s">
        <v>230</v>
      </c>
      <c r="F30" s="3"/>
      <c r="G30" s="3"/>
      <c r="H30" s="3"/>
      <c r="I30" s="3"/>
      <c r="J30" s="3"/>
      <c r="K30" s="3"/>
      <c r="L30" s="3" t="s">
        <v>115</v>
      </c>
      <c r="M30" s="3"/>
      <c r="N30" s="7"/>
    </row>
    <row r="31" spans="1:14">
      <c r="A31" s="6" t="s">
        <v>9</v>
      </c>
      <c r="B31" s="38" t="s">
        <v>116</v>
      </c>
      <c r="C31" s="3" t="s">
        <v>83</v>
      </c>
      <c r="D31" s="3" t="s">
        <v>82</v>
      </c>
      <c r="E31" s="38" t="s">
        <v>231</v>
      </c>
      <c r="F31" s="38"/>
      <c r="G31" s="38"/>
      <c r="H31" s="38"/>
      <c r="I31" s="38"/>
      <c r="J31" s="38"/>
      <c r="K31" s="38"/>
      <c r="L31" s="38" t="s">
        <v>118</v>
      </c>
      <c r="M31" s="38" t="s">
        <v>119</v>
      </c>
      <c r="N31" s="39"/>
    </row>
    <row r="32" spans="1:14">
      <c r="A32" s="6" t="s">
        <v>9</v>
      </c>
      <c r="B32" s="38" t="s">
        <v>155</v>
      </c>
      <c r="C32" s="3" t="s">
        <v>83</v>
      </c>
      <c r="D32" s="3" t="s">
        <v>82</v>
      </c>
      <c r="E32" s="38" t="s">
        <v>232</v>
      </c>
      <c r="F32" s="38"/>
      <c r="G32" s="38"/>
      <c r="H32" s="38"/>
      <c r="I32" s="38"/>
      <c r="J32" s="38"/>
      <c r="K32" s="38"/>
      <c r="L32" s="38" t="s">
        <v>141</v>
      </c>
      <c r="M32" s="38"/>
      <c r="N32" s="39"/>
    </row>
    <row r="33" spans="1:14" ht="15.75" customHeight="1" thickBot="1">
      <c r="A33" s="6" t="s">
        <v>9</v>
      </c>
      <c r="B33" s="15" t="s">
        <v>233</v>
      </c>
      <c r="C33" s="3" t="s">
        <v>83</v>
      </c>
      <c r="D33" s="3" t="s">
        <v>82</v>
      </c>
      <c r="E33" s="15" t="s">
        <v>234</v>
      </c>
      <c r="F33" s="15"/>
      <c r="G33" s="15"/>
      <c r="H33" s="15"/>
      <c r="I33" s="15"/>
      <c r="J33" s="15"/>
      <c r="K33" s="15"/>
      <c r="L33" s="15" t="s">
        <v>81</v>
      </c>
      <c r="M33" s="15"/>
      <c r="N33" s="8"/>
    </row>
  </sheetData>
  <mergeCells count="56">
    <mergeCell ref="L28:M28"/>
    <mergeCell ref="M20:N21"/>
    <mergeCell ref="J16:N16"/>
    <mergeCell ref="A28:A29"/>
    <mergeCell ref="B2:E2"/>
    <mergeCell ref="N24:N25"/>
    <mergeCell ref="A23:N23"/>
    <mergeCell ref="A20:A21"/>
    <mergeCell ref="D28:D29"/>
    <mergeCell ref="F28:K28"/>
    <mergeCell ref="C20:C21"/>
    <mergeCell ref="D20:D21"/>
    <mergeCell ref="E12:E13"/>
    <mergeCell ref="G18:I18"/>
    <mergeCell ref="C24:C25"/>
    <mergeCell ref="A27:N27"/>
    <mergeCell ref="A1:E1"/>
    <mergeCell ref="A11:N11"/>
    <mergeCell ref="B5:E5"/>
    <mergeCell ref="J21:L21"/>
    <mergeCell ref="G12:I13"/>
    <mergeCell ref="G15:I15"/>
    <mergeCell ref="B10:D10"/>
    <mergeCell ref="G14:I14"/>
    <mergeCell ref="B4:E4"/>
    <mergeCell ref="J12:N13"/>
    <mergeCell ref="A12:A13"/>
    <mergeCell ref="J15:N15"/>
    <mergeCell ref="A7:E7"/>
    <mergeCell ref="B9:D9"/>
    <mergeCell ref="B3:E3"/>
    <mergeCell ref="E20:L20"/>
    <mergeCell ref="B6:E6"/>
    <mergeCell ref="F12:F13"/>
    <mergeCell ref="C28:C29"/>
    <mergeCell ref="J14:N14"/>
    <mergeCell ref="E28:E29"/>
    <mergeCell ref="B28:B29"/>
    <mergeCell ref="L24:M24"/>
    <mergeCell ref="N28:N29"/>
    <mergeCell ref="B24:B25"/>
    <mergeCell ref="J22:L22"/>
    <mergeCell ref="D24:D25"/>
    <mergeCell ref="B20:B21"/>
    <mergeCell ref="A19:N19"/>
    <mergeCell ref="C12:D12"/>
    <mergeCell ref="J18:N18"/>
    <mergeCell ref="F24:K24"/>
    <mergeCell ref="A24:A25"/>
    <mergeCell ref="B12:B13"/>
    <mergeCell ref="B8:D8"/>
    <mergeCell ref="G16:I16"/>
    <mergeCell ref="M22:N22"/>
    <mergeCell ref="E24:E25"/>
    <mergeCell ref="G17:I17"/>
    <mergeCell ref="J17:K17"/>
  </mergeCells>
  <hyperlinks>
    <hyperlink ref="A1" location="'Clases'!A1" display="&lt;-Volver al inicio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6"/>
  <sheetViews>
    <sheetView topLeftCell="A26" workbookViewId="0">
      <selection activeCell="E57" sqref="E5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85546875" style="1" customWidth="1"/>
    <col min="5" max="5" width="124.140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Clases!A14</f>
        <v>DailyLogbookDetail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100" t="str">
        <f>Clases!C14</f>
        <v>Estructura que representa un segmento de vuelo individual dentro de una bitácora diaria. Es la entidad central del sistema, contiene el número de vuelo, la ruta , la aeronave utilizada, los tiempos de operación y el rol del piloto.</v>
      </c>
      <c r="C4" s="101"/>
      <c r="D4" s="101"/>
      <c r="E4" s="102"/>
    </row>
    <row r="5" spans="1:14">
      <c r="A5" s="17" t="s">
        <v>61</v>
      </c>
      <c r="B5" s="53" t="s">
        <v>9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0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48" t="s">
        <v>70</v>
      </c>
      <c r="B9" s="81" t="s">
        <v>145</v>
      </c>
      <c r="C9" s="82"/>
      <c r="D9" s="82"/>
      <c r="E9" s="49" t="str">
        <f>HYPERLINK("#'"&amp;F9&amp;"'!A1", F9)</f>
        <v>DailyLogbook</v>
      </c>
      <c r="F9" s="44" t="s">
        <v>31</v>
      </c>
      <c r="G9" s="2"/>
      <c r="H9" s="2"/>
      <c r="I9" s="2"/>
      <c r="J9" s="2"/>
      <c r="K9" s="2"/>
      <c r="L9" s="2"/>
      <c r="M9" s="2"/>
      <c r="N9" s="2"/>
    </row>
    <row r="10" spans="1:14">
      <c r="A10" s="48" t="s">
        <v>70</v>
      </c>
      <c r="B10" s="81" t="s">
        <v>145</v>
      </c>
      <c r="C10" s="82"/>
      <c r="D10" s="82"/>
      <c r="E10" s="49" t="str">
        <f t="shared" ref="E10:E14" si="0">HYPERLINK("#'"&amp;F10&amp;"'!A1", F10)</f>
        <v>AirlineRoute</v>
      </c>
      <c r="F10" s="44" t="s">
        <v>29</v>
      </c>
      <c r="G10" s="2"/>
      <c r="H10" s="2"/>
      <c r="I10" s="2"/>
      <c r="J10" s="2"/>
      <c r="K10" s="2"/>
      <c r="L10" s="2"/>
      <c r="M10" s="2"/>
      <c r="N10" s="2"/>
    </row>
    <row r="11" spans="1:14">
      <c r="A11" s="48" t="s">
        <v>70</v>
      </c>
      <c r="B11" s="81" t="s">
        <v>145</v>
      </c>
      <c r="C11" s="82"/>
      <c r="D11" s="82"/>
      <c r="E11" s="49" t="str">
        <f t="shared" si="0"/>
        <v>TailNumber</v>
      </c>
      <c r="F11" s="44" t="s">
        <v>25</v>
      </c>
      <c r="G11" s="2"/>
      <c r="H11" s="2"/>
      <c r="I11" s="2"/>
      <c r="J11" s="2"/>
      <c r="K11" s="2"/>
      <c r="L11" s="2"/>
      <c r="M11" s="2"/>
      <c r="N11" s="2"/>
    </row>
    <row r="12" spans="1:14">
      <c r="A12" s="48" t="s">
        <v>70</v>
      </c>
      <c r="B12" s="81" t="s">
        <v>71</v>
      </c>
      <c r="C12" s="82"/>
      <c r="D12" s="82"/>
      <c r="E12" s="49" t="str">
        <f t="shared" si="0"/>
        <v>PilotRole</v>
      </c>
      <c r="F12" s="44" t="s">
        <v>50</v>
      </c>
      <c r="G12" s="2"/>
      <c r="H12" s="2"/>
      <c r="I12" s="2"/>
      <c r="J12" s="2"/>
      <c r="K12" s="2"/>
      <c r="L12" s="2"/>
      <c r="M12" s="2"/>
      <c r="N12" s="2"/>
    </row>
    <row r="13" spans="1:14">
      <c r="A13" s="48" t="s">
        <v>70</v>
      </c>
      <c r="B13" s="53" t="s">
        <v>71</v>
      </c>
      <c r="C13" s="108"/>
      <c r="D13" s="108"/>
      <c r="E13" s="49" t="str">
        <f t="shared" si="0"/>
        <v>CrewRole</v>
      </c>
      <c r="F13" s="44" t="s">
        <v>52</v>
      </c>
    </row>
    <row r="14" spans="1:14" ht="15.75" customHeight="1">
      <c r="A14" s="48" t="s">
        <v>70</v>
      </c>
      <c r="B14" s="87" t="s">
        <v>71</v>
      </c>
      <c r="C14" s="111"/>
      <c r="D14" s="111"/>
      <c r="E14" s="49" t="str">
        <f t="shared" si="0"/>
        <v>ApproachType</v>
      </c>
      <c r="F14" s="44" t="s">
        <v>54</v>
      </c>
    </row>
    <row r="15" spans="1:14">
      <c r="A15" s="52" t="s">
        <v>72</v>
      </c>
      <c r="B15" s="106"/>
      <c r="C15" s="106"/>
      <c r="D15" s="106"/>
      <c r="E15" s="116"/>
      <c r="F15" s="106"/>
      <c r="G15" s="106"/>
      <c r="H15" s="106"/>
      <c r="I15" s="106"/>
      <c r="J15" s="106"/>
      <c r="K15" s="106"/>
      <c r="L15" s="106"/>
      <c r="M15" s="106"/>
      <c r="N15" s="107"/>
    </row>
    <row r="16" spans="1:14">
      <c r="A16" s="56" t="s">
        <v>4</v>
      </c>
      <c r="B16" s="55" t="s">
        <v>73</v>
      </c>
      <c r="C16" s="55" t="s">
        <v>74</v>
      </c>
      <c r="D16" s="109"/>
      <c r="E16" s="55" t="s">
        <v>75</v>
      </c>
      <c r="F16" s="55" t="s">
        <v>76</v>
      </c>
      <c r="G16" s="55" t="s">
        <v>77</v>
      </c>
      <c r="H16" s="111"/>
      <c r="I16" s="112"/>
      <c r="J16" s="55" t="s">
        <v>78</v>
      </c>
      <c r="K16" s="111"/>
      <c r="L16" s="111"/>
      <c r="M16" s="111"/>
      <c r="N16" s="112"/>
    </row>
    <row r="17" spans="1:16">
      <c r="A17" s="113"/>
      <c r="B17" s="114"/>
      <c r="C17" s="10" t="s">
        <v>74</v>
      </c>
      <c r="D17" s="10" t="s">
        <v>79</v>
      </c>
      <c r="E17" s="114"/>
      <c r="F17" s="114"/>
      <c r="G17" s="115"/>
      <c r="H17" s="116"/>
      <c r="I17" s="117"/>
      <c r="J17" s="115"/>
      <c r="K17" s="116"/>
      <c r="L17" s="116"/>
      <c r="M17" s="116"/>
      <c r="N17" s="117"/>
    </row>
    <row r="18" spans="1:16">
      <c r="A18" s="6" t="s">
        <v>62</v>
      </c>
      <c r="B18" s="3" t="s">
        <v>80</v>
      </c>
      <c r="C18" s="3" t="s">
        <v>235</v>
      </c>
      <c r="D18" s="3"/>
      <c r="E18" s="3" t="s">
        <v>113</v>
      </c>
      <c r="F18" s="3" t="s">
        <v>83</v>
      </c>
      <c r="G18" s="53"/>
      <c r="H18" s="108"/>
      <c r="I18" s="109"/>
      <c r="J18" s="53" t="s">
        <v>236</v>
      </c>
      <c r="K18" s="108"/>
      <c r="L18" s="108"/>
      <c r="M18" s="108"/>
      <c r="N18" s="109"/>
    </row>
    <row r="19" spans="1:16">
      <c r="A19" s="6" t="s">
        <v>62</v>
      </c>
      <c r="B19" s="3" t="s">
        <v>237</v>
      </c>
      <c r="C19" s="3" t="s">
        <v>235</v>
      </c>
      <c r="D19" s="3"/>
      <c r="E19" s="3" t="s">
        <v>113</v>
      </c>
      <c r="F19" s="3" t="s">
        <v>83</v>
      </c>
      <c r="G19" s="53"/>
      <c r="H19" s="108"/>
      <c r="I19" s="109"/>
      <c r="J19" s="53" t="s">
        <v>238</v>
      </c>
      <c r="K19" s="108"/>
      <c r="L19" s="108"/>
      <c r="M19" s="108"/>
      <c r="N19" s="109"/>
    </row>
    <row r="20" spans="1:16">
      <c r="A20" s="6" t="s">
        <v>62</v>
      </c>
      <c r="B20" s="3" t="s">
        <v>239</v>
      </c>
      <c r="C20" s="3" t="s">
        <v>235</v>
      </c>
      <c r="D20" s="3"/>
      <c r="E20" s="3" t="s">
        <v>113</v>
      </c>
      <c r="F20" s="3" t="s">
        <v>83</v>
      </c>
      <c r="G20" s="53"/>
      <c r="H20" s="108"/>
      <c r="I20" s="109"/>
      <c r="J20" s="53" t="s">
        <v>240</v>
      </c>
      <c r="K20" s="108"/>
      <c r="L20" s="108"/>
      <c r="M20" s="108"/>
      <c r="N20" s="109"/>
    </row>
    <row r="21" spans="1:16">
      <c r="A21" s="6" t="s">
        <v>62</v>
      </c>
      <c r="B21" s="3" t="s">
        <v>241</v>
      </c>
      <c r="C21" s="3" t="s">
        <v>235</v>
      </c>
      <c r="D21" s="3"/>
      <c r="E21" s="3" t="s">
        <v>113</v>
      </c>
      <c r="F21" s="3" t="s">
        <v>83</v>
      </c>
      <c r="G21" s="84"/>
      <c r="H21" s="85"/>
      <c r="I21" s="86"/>
      <c r="J21" s="53" t="s">
        <v>242</v>
      </c>
      <c r="K21" s="53"/>
      <c r="L21" s="53"/>
      <c r="M21" s="53"/>
      <c r="N21" s="53"/>
      <c r="O21" s="40"/>
      <c r="P21" s="40"/>
    </row>
    <row r="22" spans="1:16">
      <c r="A22" s="6" t="s">
        <v>62</v>
      </c>
      <c r="B22" s="3" t="s">
        <v>243</v>
      </c>
      <c r="C22" s="3" t="s">
        <v>235</v>
      </c>
      <c r="D22" s="3"/>
      <c r="E22" s="3" t="s">
        <v>113</v>
      </c>
      <c r="F22" s="3" t="s">
        <v>83</v>
      </c>
      <c r="G22" s="32"/>
      <c r="H22" s="33"/>
      <c r="I22" s="34"/>
      <c r="J22" s="67" t="s">
        <v>244</v>
      </c>
      <c r="K22" s="68"/>
      <c r="L22" s="68"/>
      <c r="M22" s="68"/>
      <c r="N22" s="69"/>
      <c r="O22" s="40"/>
      <c r="P22" s="40"/>
    </row>
    <row r="23" spans="1:16">
      <c r="A23" s="6" t="s">
        <v>62</v>
      </c>
      <c r="B23" s="3" t="s">
        <v>245</v>
      </c>
      <c r="C23" s="3" t="s">
        <v>235</v>
      </c>
      <c r="D23" s="3"/>
      <c r="E23" s="3" t="s">
        <v>113</v>
      </c>
      <c r="F23" s="3" t="s">
        <v>83</v>
      </c>
      <c r="G23" s="32"/>
      <c r="H23" s="33"/>
      <c r="I23" s="34"/>
      <c r="J23" s="67" t="s">
        <v>246</v>
      </c>
      <c r="K23" s="68"/>
      <c r="L23" s="68"/>
      <c r="M23" s="68"/>
      <c r="N23" s="69"/>
      <c r="O23" s="40"/>
      <c r="P23" s="40"/>
    </row>
    <row r="24" spans="1:16">
      <c r="A24" s="6" t="s">
        <v>62</v>
      </c>
      <c r="B24" s="3" t="s">
        <v>247</v>
      </c>
      <c r="C24" s="3" t="s">
        <v>227</v>
      </c>
      <c r="D24" s="3"/>
      <c r="E24" s="3" t="s">
        <v>113</v>
      </c>
      <c r="F24" s="3" t="s">
        <v>83</v>
      </c>
      <c r="G24" s="32"/>
      <c r="H24" s="33"/>
      <c r="I24" s="34"/>
      <c r="J24" s="67" t="s">
        <v>248</v>
      </c>
      <c r="K24" s="68"/>
      <c r="L24" s="68"/>
      <c r="M24" s="68"/>
      <c r="N24" s="69"/>
      <c r="O24" s="40"/>
      <c r="P24" s="40"/>
    </row>
    <row r="25" spans="1:16">
      <c r="A25" s="6" t="s">
        <v>62</v>
      </c>
      <c r="B25" s="3" t="s">
        <v>249</v>
      </c>
      <c r="C25" s="3" t="s">
        <v>235</v>
      </c>
      <c r="D25" s="3"/>
      <c r="E25" s="3" t="s">
        <v>113</v>
      </c>
      <c r="F25" s="3" t="s">
        <v>83</v>
      </c>
      <c r="G25" s="32"/>
      <c r="H25" s="33"/>
      <c r="I25" s="34"/>
      <c r="J25" s="67" t="s">
        <v>250</v>
      </c>
      <c r="K25" s="68"/>
      <c r="L25" s="68"/>
      <c r="M25" s="68"/>
      <c r="N25" s="69"/>
      <c r="O25" s="40"/>
      <c r="P25" s="40"/>
    </row>
    <row r="26" spans="1:16">
      <c r="A26" s="6" t="s">
        <v>62</v>
      </c>
      <c r="B26" s="3" t="s">
        <v>251</v>
      </c>
      <c r="C26" s="3" t="s">
        <v>235</v>
      </c>
      <c r="D26" s="3"/>
      <c r="E26" s="3" t="s">
        <v>113</v>
      </c>
      <c r="F26" s="3" t="s">
        <v>83</v>
      </c>
      <c r="G26" s="32"/>
      <c r="H26" s="33"/>
      <c r="I26" s="34"/>
      <c r="J26" s="67" t="s">
        <v>252</v>
      </c>
      <c r="K26" s="68"/>
      <c r="L26" s="68"/>
      <c r="M26" s="68"/>
      <c r="N26" s="69"/>
      <c r="O26" s="40"/>
      <c r="P26" s="40"/>
    </row>
    <row r="27" spans="1:16">
      <c r="A27" s="6" t="s">
        <v>62</v>
      </c>
      <c r="B27" s="3" t="s">
        <v>253</v>
      </c>
      <c r="C27" s="3" t="s">
        <v>235</v>
      </c>
      <c r="D27" s="3"/>
      <c r="E27" s="3" t="s">
        <v>113</v>
      </c>
      <c r="F27" s="3" t="s">
        <v>83</v>
      </c>
      <c r="G27" s="32"/>
      <c r="H27" s="33"/>
      <c r="I27" s="34"/>
      <c r="J27" s="67" t="s">
        <v>254</v>
      </c>
      <c r="K27" s="68"/>
      <c r="L27" s="68"/>
      <c r="M27" s="68"/>
      <c r="N27" s="69"/>
      <c r="O27" s="40"/>
      <c r="P27" s="40"/>
    </row>
    <row r="28" spans="1:16">
      <c r="A28" s="6" t="s">
        <v>62</v>
      </c>
      <c r="B28" s="3" t="s">
        <v>255</v>
      </c>
      <c r="C28" s="3" t="s">
        <v>235</v>
      </c>
      <c r="D28" s="3"/>
      <c r="E28" s="3" t="s">
        <v>113</v>
      </c>
      <c r="F28" s="3" t="s">
        <v>83</v>
      </c>
      <c r="G28" s="32"/>
      <c r="H28" s="33"/>
      <c r="I28" s="34"/>
      <c r="J28" s="103" t="s">
        <v>256</v>
      </c>
      <c r="K28" s="104"/>
      <c r="L28" s="104"/>
      <c r="M28" s="104"/>
      <c r="N28" s="104"/>
      <c r="O28" s="104"/>
      <c r="P28" s="104"/>
    </row>
    <row r="29" spans="1:16">
      <c r="A29" s="6" t="s">
        <v>62</v>
      </c>
      <c r="B29" s="3" t="s">
        <v>50</v>
      </c>
      <c r="C29" s="3" t="s">
        <v>118</v>
      </c>
      <c r="D29" s="3" t="s">
        <v>257</v>
      </c>
      <c r="E29" s="3" t="s">
        <v>113</v>
      </c>
      <c r="F29" s="3" t="s">
        <v>83</v>
      </c>
      <c r="G29" s="32"/>
      <c r="H29" s="33"/>
      <c r="I29" s="34"/>
      <c r="J29" s="67" t="s">
        <v>258</v>
      </c>
      <c r="K29" s="68"/>
      <c r="L29" s="68"/>
      <c r="M29" s="68"/>
      <c r="N29" s="69"/>
      <c r="O29" s="40"/>
      <c r="P29" s="40"/>
    </row>
    <row r="30" spans="1:16">
      <c r="A30" s="6" t="s">
        <v>62</v>
      </c>
      <c r="B30" s="3" t="s">
        <v>52</v>
      </c>
      <c r="C30" s="3" t="s">
        <v>118</v>
      </c>
      <c r="D30" s="3" t="s">
        <v>52</v>
      </c>
      <c r="E30" s="3" t="s">
        <v>113</v>
      </c>
      <c r="F30" s="3" t="s">
        <v>83</v>
      </c>
      <c r="G30" s="32"/>
      <c r="H30" s="33"/>
      <c r="I30" s="34"/>
      <c r="J30" s="67" t="s">
        <v>259</v>
      </c>
      <c r="K30" s="68"/>
      <c r="L30" s="68"/>
      <c r="M30" s="68"/>
      <c r="N30" s="69"/>
      <c r="O30" s="40"/>
      <c r="P30" s="40"/>
    </row>
    <row r="31" spans="1:16">
      <c r="A31" s="6" t="s">
        <v>62</v>
      </c>
      <c r="B31" s="3" t="s">
        <v>260</v>
      </c>
      <c r="C31" s="3" t="s">
        <v>235</v>
      </c>
      <c r="D31" s="3"/>
      <c r="E31" s="3" t="s">
        <v>113</v>
      </c>
      <c r="F31" s="3" t="s">
        <v>83</v>
      </c>
      <c r="G31" s="32"/>
      <c r="H31" s="33"/>
      <c r="I31" s="34"/>
      <c r="J31" s="67" t="s">
        <v>261</v>
      </c>
      <c r="K31" s="68"/>
      <c r="L31" s="68"/>
      <c r="M31" s="68"/>
      <c r="N31" s="69"/>
      <c r="O31" s="40"/>
      <c r="P31" s="40"/>
    </row>
    <row r="32" spans="1:16">
      <c r="A32" s="6" t="s">
        <v>62</v>
      </c>
      <c r="B32" s="3" t="s">
        <v>262</v>
      </c>
      <c r="C32" s="3" t="s">
        <v>235</v>
      </c>
      <c r="D32" s="3"/>
      <c r="E32" s="3" t="s">
        <v>113</v>
      </c>
      <c r="F32" s="3" t="s">
        <v>83</v>
      </c>
      <c r="G32" s="32"/>
      <c r="H32" s="33"/>
      <c r="I32" s="34"/>
      <c r="J32" s="67" t="s">
        <v>263</v>
      </c>
      <c r="K32" s="68"/>
      <c r="L32" s="68"/>
      <c r="M32" s="68"/>
      <c r="N32" s="69"/>
      <c r="O32" s="40"/>
      <c r="P32" s="40"/>
    </row>
    <row r="33" spans="1:16">
      <c r="A33" s="6" t="s">
        <v>62</v>
      </c>
      <c r="B33" s="3" t="s">
        <v>264</v>
      </c>
      <c r="C33" s="3" t="s">
        <v>235</v>
      </c>
      <c r="D33" s="3"/>
      <c r="E33" s="3" t="s">
        <v>113</v>
      </c>
      <c r="F33" s="3" t="s">
        <v>83</v>
      </c>
      <c r="G33" s="32"/>
      <c r="H33" s="33"/>
      <c r="I33" s="34"/>
      <c r="J33" s="67" t="s">
        <v>265</v>
      </c>
      <c r="K33" s="68"/>
      <c r="L33" s="68"/>
      <c r="M33" s="68"/>
      <c r="N33" s="69"/>
      <c r="O33" s="40"/>
      <c r="P33" s="40"/>
    </row>
    <row r="34" spans="1:16">
      <c r="A34" s="6" t="s">
        <v>62</v>
      </c>
      <c r="B34" s="3" t="s">
        <v>266</v>
      </c>
      <c r="C34" s="3" t="s">
        <v>118</v>
      </c>
      <c r="D34" s="3" t="s">
        <v>54</v>
      </c>
      <c r="E34" s="3" t="s">
        <v>113</v>
      </c>
      <c r="F34" s="3" t="s">
        <v>83</v>
      </c>
      <c r="G34" s="32"/>
      <c r="H34" s="33"/>
      <c r="I34" s="34"/>
      <c r="J34" s="67" t="s">
        <v>267</v>
      </c>
      <c r="K34" s="68"/>
      <c r="L34" s="68"/>
      <c r="M34" s="68"/>
      <c r="N34" s="69"/>
      <c r="O34" s="40"/>
      <c r="P34" s="40"/>
    </row>
    <row r="35" spans="1:16">
      <c r="A35" s="6" t="s">
        <v>62</v>
      </c>
      <c r="B35" s="3" t="s">
        <v>268</v>
      </c>
      <c r="C35" s="3" t="s">
        <v>235</v>
      </c>
      <c r="D35" s="3"/>
      <c r="E35" s="3" t="s">
        <v>113</v>
      </c>
      <c r="F35" s="3" t="s">
        <v>83</v>
      </c>
      <c r="G35" s="32"/>
      <c r="H35" s="33"/>
      <c r="I35" s="34"/>
      <c r="J35" s="67" t="s">
        <v>269</v>
      </c>
      <c r="K35" s="68"/>
      <c r="L35" s="68"/>
      <c r="M35" s="68"/>
      <c r="N35" s="69"/>
      <c r="O35" s="40"/>
      <c r="P35" s="40"/>
    </row>
    <row r="36" spans="1:16">
      <c r="A36" s="6" t="s">
        <v>62</v>
      </c>
      <c r="B36" s="3" t="s">
        <v>270</v>
      </c>
      <c r="C36" s="3" t="s">
        <v>235</v>
      </c>
      <c r="D36" s="3"/>
      <c r="E36" s="3" t="s">
        <v>113</v>
      </c>
      <c r="F36" s="3" t="s">
        <v>83</v>
      </c>
      <c r="G36" s="32"/>
      <c r="H36" s="33"/>
      <c r="I36" s="34"/>
      <c r="J36" s="67" t="s">
        <v>271</v>
      </c>
      <c r="K36" s="68"/>
      <c r="L36" s="68"/>
      <c r="M36" s="68"/>
      <c r="N36" s="69"/>
      <c r="O36" s="40"/>
      <c r="P36" s="40"/>
    </row>
    <row r="37" spans="1:16">
      <c r="A37" s="6" t="s">
        <v>62</v>
      </c>
      <c r="B37" s="3" t="s">
        <v>222</v>
      </c>
      <c r="C37" s="3" t="s">
        <v>235</v>
      </c>
      <c r="D37" s="3"/>
      <c r="E37" s="3" t="s">
        <v>113</v>
      </c>
      <c r="F37" s="3" t="s">
        <v>83</v>
      </c>
      <c r="G37" s="32"/>
      <c r="H37" s="33"/>
      <c r="I37" s="34"/>
      <c r="J37" s="67" t="s">
        <v>272</v>
      </c>
      <c r="K37" s="68"/>
      <c r="L37" s="68"/>
      <c r="M37" s="68"/>
      <c r="N37" s="69"/>
      <c r="O37" s="40"/>
      <c r="P37" s="40"/>
    </row>
    <row r="38" spans="1:16">
      <c r="A38" s="6" t="s">
        <v>62</v>
      </c>
      <c r="B38" s="3" t="s">
        <v>204</v>
      </c>
      <c r="C38" s="3" t="s">
        <v>235</v>
      </c>
      <c r="D38" s="3"/>
      <c r="E38" s="3" t="s">
        <v>113</v>
      </c>
      <c r="F38" s="3" t="s">
        <v>83</v>
      </c>
      <c r="G38" s="32"/>
      <c r="H38" s="33"/>
      <c r="I38" s="34"/>
      <c r="J38" s="67" t="s">
        <v>213</v>
      </c>
      <c r="K38" s="68"/>
      <c r="L38" s="68"/>
      <c r="M38" s="68"/>
      <c r="N38" s="69"/>
      <c r="O38" s="40"/>
      <c r="P38" s="40"/>
    </row>
    <row r="39" spans="1:16">
      <c r="A39" s="6" t="s">
        <v>62</v>
      </c>
      <c r="B39" s="3" t="s">
        <v>196</v>
      </c>
      <c r="C39" s="3" t="s">
        <v>235</v>
      </c>
      <c r="D39" s="3"/>
      <c r="E39" s="3" t="s">
        <v>113</v>
      </c>
      <c r="F39" s="3" t="s">
        <v>83</v>
      </c>
      <c r="G39" s="32"/>
      <c r="H39" s="33"/>
      <c r="I39" s="34"/>
      <c r="J39" s="67" t="s">
        <v>211</v>
      </c>
      <c r="K39" s="68"/>
      <c r="L39" s="68"/>
      <c r="M39" s="68"/>
      <c r="N39" s="69"/>
      <c r="O39" s="40"/>
      <c r="P39" s="40"/>
    </row>
    <row r="40" spans="1:16">
      <c r="A40" s="6" t="s">
        <v>62</v>
      </c>
      <c r="B40" s="3" t="s">
        <v>200</v>
      </c>
      <c r="C40" s="3" t="s">
        <v>235</v>
      </c>
      <c r="D40" s="3"/>
      <c r="E40" s="3" t="s">
        <v>113</v>
      </c>
      <c r="F40" s="3" t="s">
        <v>83</v>
      </c>
      <c r="G40" s="32"/>
      <c r="H40" s="33"/>
      <c r="I40" s="34"/>
      <c r="J40" s="67" t="s">
        <v>212</v>
      </c>
      <c r="K40" s="68"/>
      <c r="L40" s="68"/>
      <c r="M40" s="68"/>
      <c r="N40" s="69"/>
      <c r="O40" s="40"/>
      <c r="P40" s="40"/>
    </row>
    <row r="41" spans="1:16">
      <c r="A41" s="6" t="s">
        <v>62</v>
      </c>
      <c r="B41" s="3" t="s">
        <v>124</v>
      </c>
      <c r="C41" s="3" t="s">
        <v>235</v>
      </c>
      <c r="D41" s="3"/>
      <c r="E41" s="3" t="s">
        <v>113</v>
      </c>
      <c r="F41" s="3" t="s">
        <v>83</v>
      </c>
      <c r="G41" s="32"/>
      <c r="H41" s="33"/>
      <c r="I41" s="34"/>
      <c r="J41" s="67" t="s">
        <v>218</v>
      </c>
      <c r="K41" s="68"/>
      <c r="L41" s="68"/>
      <c r="M41" s="68"/>
      <c r="N41" s="69"/>
      <c r="O41" s="40"/>
      <c r="P41" s="40"/>
    </row>
    <row r="42" spans="1:16">
      <c r="A42" s="6" t="s">
        <v>62</v>
      </c>
      <c r="B42" s="3" t="s">
        <v>25</v>
      </c>
      <c r="C42" s="3" t="s">
        <v>235</v>
      </c>
      <c r="D42" s="3"/>
      <c r="E42" s="3" t="s">
        <v>113</v>
      </c>
      <c r="F42" s="3" t="s">
        <v>83</v>
      </c>
      <c r="G42" s="32"/>
      <c r="H42" s="33"/>
      <c r="I42" s="34"/>
      <c r="J42" s="67" t="s">
        <v>273</v>
      </c>
      <c r="K42" s="68"/>
      <c r="L42" s="68"/>
      <c r="M42" s="68"/>
      <c r="N42" s="69"/>
      <c r="O42" s="40"/>
      <c r="P42" s="40"/>
    </row>
    <row r="43" spans="1:16">
      <c r="A43" s="6" t="s">
        <v>62</v>
      </c>
      <c r="B43" s="3" t="s">
        <v>170</v>
      </c>
      <c r="C43" s="3" t="s">
        <v>235</v>
      </c>
      <c r="D43" s="3"/>
      <c r="E43" s="3" t="s">
        <v>113</v>
      </c>
      <c r="F43" s="3" t="s">
        <v>83</v>
      </c>
      <c r="G43" s="53"/>
      <c r="H43" s="108"/>
      <c r="I43" s="109"/>
      <c r="J43" s="53" t="s">
        <v>185</v>
      </c>
      <c r="K43" s="53"/>
      <c r="L43" s="53"/>
      <c r="M43" s="53"/>
      <c r="N43" s="53"/>
    </row>
    <row r="44" spans="1:16">
      <c r="A44" s="64" t="s">
        <v>97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/>
    </row>
    <row r="45" spans="1:16">
      <c r="A45" s="62" t="s">
        <v>4</v>
      </c>
      <c r="B45" s="54" t="s">
        <v>73</v>
      </c>
      <c r="C45" s="54" t="s">
        <v>98</v>
      </c>
      <c r="D45" s="54" t="s">
        <v>99</v>
      </c>
      <c r="E45" s="54" t="s">
        <v>100</v>
      </c>
      <c r="F45" s="108"/>
      <c r="G45" s="108"/>
      <c r="H45" s="108"/>
      <c r="I45" s="108"/>
      <c r="J45" s="108"/>
      <c r="K45" s="108"/>
      <c r="L45" s="109"/>
      <c r="M45" s="54" t="s">
        <v>101</v>
      </c>
      <c r="N45" s="112"/>
    </row>
    <row r="46" spans="1:16">
      <c r="A46" s="113"/>
      <c r="B46" s="114"/>
      <c r="C46" s="114"/>
      <c r="D46" s="114"/>
      <c r="E46" s="11" t="s">
        <v>73</v>
      </c>
      <c r="F46" s="11" t="s">
        <v>74</v>
      </c>
      <c r="G46" s="11" t="s">
        <v>79</v>
      </c>
      <c r="H46" s="11" t="s">
        <v>102</v>
      </c>
      <c r="I46" s="11" t="s">
        <v>75</v>
      </c>
      <c r="J46" s="54" t="s">
        <v>99</v>
      </c>
      <c r="K46" s="108"/>
      <c r="L46" s="109"/>
      <c r="M46" s="115"/>
      <c r="N46" s="117"/>
    </row>
    <row r="47" spans="1:16">
      <c r="A47" s="6" t="s">
        <v>10</v>
      </c>
      <c r="B47" s="3"/>
      <c r="C47" s="3"/>
      <c r="D47" s="3" t="s">
        <v>103</v>
      </c>
      <c r="E47" s="3"/>
      <c r="F47" s="3"/>
      <c r="G47" s="3"/>
      <c r="H47" s="3"/>
      <c r="I47" s="3"/>
      <c r="J47" s="53"/>
      <c r="K47" s="108"/>
      <c r="L47" s="109"/>
      <c r="M47" s="63"/>
      <c r="N47" s="110"/>
    </row>
    <row r="48" spans="1:16">
      <c r="A48" s="61" t="s">
        <v>104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9"/>
    </row>
    <row r="49" spans="1:14">
      <c r="A49" s="65" t="s">
        <v>4</v>
      </c>
      <c r="B49" s="66" t="s">
        <v>73</v>
      </c>
      <c r="C49" s="66" t="s">
        <v>106</v>
      </c>
      <c r="D49" s="66" t="s">
        <v>107</v>
      </c>
      <c r="E49" s="66" t="s">
        <v>99</v>
      </c>
      <c r="F49" s="66" t="s">
        <v>100</v>
      </c>
      <c r="G49" s="108"/>
      <c r="H49" s="108"/>
      <c r="I49" s="108"/>
      <c r="J49" s="108"/>
      <c r="K49" s="109"/>
      <c r="L49" s="66" t="s">
        <v>108</v>
      </c>
      <c r="M49" s="109"/>
      <c r="N49" s="60" t="s">
        <v>101</v>
      </c>
    </row>
    <row r="50" spans="1:14">
      <c r="A50" s="113"/>
      <c r="B50" s="114"/>
      <c r="C50" s="114"/>
      <c r="D50" s="114"/>
      <c r="E50" s="114"/>
      <c r="F50" s="12" t="s">
        <v>73</v>
      </c>
      <c r="G50" s="12" t="s">
        <v>74</v>
      </c>
      <c r="H50" s="12" t="s">
        <v>79</v>
      </c>
      <c r="I50" s="12" t="s">
        <v>102</v>
      </c>
      <c r="J50" s="12" t="s">
        <v>75</v>
      </c>
      <c r="K50" s="12" t="s">
        <v>99</v>
      </c>
      <c r="L50" s="12" t="s">
        <v>74</v>
      </c>
      <c r="M50" s="12" t="s">
        <v>79</v>
      </c>
      <c r="N50" s="118"/>
    </row>
    <row r="51" spans="1:14">
      <c r="A51" s="6" t="s">
        <v>10</v>
      </c>
      <c r="B51" s="3"/>
      <c r="C51" s="3"/>
      <c r="D51" s="3"/>
      <c r="E51" s="3" t="s">
        <v>109</v>
      </c>
      <c r="F51" s="3"/>
      <c r="G51" s="3"/>
      <c r="H51" s="3"/>
      <c r="I51" s="3"/>
      <c r="J51" s="3"/>
      <c r="K51" s="3"/>
      <c r="L51" s="3"/>
      <c r="M51" s="3"/>
      <c r="N51" s="7"/>
    </row>
    <row r="52" spans="1:14">
      <c r="A52" s="76" t="s">
        <v>110</v>
      </c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9"/>
    </row>
    <row r="53" spans="1:14">
      <c r="A53" s="77" t="s">
        <v>4</v>
      </c>
      <c r="B53" s="70" t="s">
        <v>73</v>
      </c>
      <c r="C53" s="70" t="s">
        <v>111</v>
      </c>
      <c r="D53" s="70" t="s">
        <v>107</v>
      </c>
      <c r="E53" s="70" t="s">
        <v>99</v>
      </c>
      <c r="F53" s="70" t="s">
        <v>100</v>
      </c>
      <c r="G53" s="108"/>
      <c r="H53" s="108"/>
      <c r="I53" s="108"/>
      <c r="J53" s="108"/>
      <c r="K53" s="109"/>
      <c r="L53" s="70" t="s">
        <v>108</v>
      </c>
      <c r="M53" s="109"/>
      <c r="N53" s="75" t="s">
        <v>101</v>
      </c>
    </row>
    <row r="54" spans="1:14">
      <c r="A54" s="113"/>
      <c r="B54" s="114"/>
      <c r="C54" s="114"/>
      <c r="D54" s="114"/>
      <c r="E54" s="114"/>
      <c r="F54" s="13" t="s">
        <v>73</v>
      </c>
      <c r="G54" s="13" t="s">
        <v>74</v>
      </c>
      <c r="H54" s="13" t="s">
        <v>79</v>
      </c>
      <c r="I54" s="13" t="s">
        <v>102</v>
      </c>
      <c r="J54" s="13" t="s">
        <v>75</v>
      </c>
      <c r="K54" s="13" t="s">
        <v>99</v>
      </c>
      <c r="L54" s="13" t="s">
        <v>74</v>
      </c>
      <c r="M54" s="13" t="s">
        <v>79</v>
      </c>
      <c r="N54" s="118"/>
    </row>
    <row r="55" spans="1:14">
      <c r="A55" s="6" t="s">
        <v>62</v>
      </c>
      <c r="B55" s="3" t="s">
        <v>112</v>
      </c>
      <c r="C55" s="3" t="s">
        <v>83</v>
      </c>
      <c r="D55" s="3" t="s">
        <v>82</v>
      </c>
      <c r="E55" s="3" t="s">
        <v>274</v>
      </c>
      <c r="F55" s="3"/>
      <c r="G55" s="3"/>
      <c r="H55" s="3"/>
      <c r="I55" s="3"/>
      <c r="J55" s="3"/>
      <c r="K55" s="3"/>
      <c r="L55" s="3" t="s">
        <v>275</v>
      </c>
      <c r="M55" s="3"/>
      <c r="N55" s="7"/>
    </row>
    <row r="56" spans="1:14" ht="15.75" customHeight="1" thickBot="1">
      <c r="A56" s="14" t="s">
        <v>62</v>
      </c>
      <c r="B56" s="15" t="s">
        <v>116</v>
      </c>
      <c r="C56" s="3" t="s">
        <v>83</v>
      </c>
      <c r="D56" s="3" t="s">
        <v>82</v>
      </c>
      <c r="E56" s="15" t="s">
        <v>276</v>
      </c>
      <c r="F56" s="15"/>
      <c r="G56" s="15"/>
      <c r="H56" s="15"/>
      <c r="I56" s="15"/>
      <c r="J56" s="15"/>
      <c r="K56" s="15"/>
      <c r="L56" s="15" t="s">
        <v>118</v>
      </c>
      <c r="M56" s="15" t="s">
        <v>119</v>
      </c>
      <c r="N56" s="8"/>
    </row>
  </sheetData>
  <mergeCells count="81">
    <mergeCell ref="J39:N39"/>
    <mergeCell ref="J41:N41"/>
    <mergeCell ref="J42:N42"/>
    <mergeCell ref="J40:N40"/>
    <mergeCell ref="J34:N34"/>
    <mergeCell ref="J35:N35"/>
    <mergeCell ref="J36:N36"/>
    <mergeCell ref="J37:N37"/>
    <mergeCell ref="J38:N38"/>
    <mergeCell ref="J26:N26"/>
    <mergeCell ref="J33:N33"/>
    <mergeCell ref="J29:N29"/>
    <mergeCell ref="J31:N31"/>
    <mergeCell ref="J32:N32"/>
    <mergeCell ref="J27:N27"/>
    <mergeCell ref="J28:P28"/>
    <mergeCell ref="J30:N30"/>
    <mergeCell ref="L53:M53"/>
    <mergeCell ref="M45:N46"/>
    <mergeCell ref="J20:N20"/>
    <mergeCell ref="A53:A54"/>
    <mergeCell ref="B2:E2"/>
    <mergeCell ref="N49:N50"/>
    <mergeCell ref="A48:N48"/>
    <mergeCell ref="A45:A46"/>
    <mergeCell ref="D53:D54"/>
    <mergeCell ref="F53:K53"/>
    <mergeCell ref="C45:C46"/>
    <mergeCell ref="D45:D46"/>
    <mergeCell ref="E16:E17"/>
    <mergeCell ref="G43:I43"/>
    <mergeCell ref="C49:C50"/>
    <mergeCell ref="A52:N52"/>
    <mergeCell ref="A1:E1"/>
    <mergeCell ref="A15:N15"/>
    <mergeCell ref="B5:E5"/>
    <mergeCell ref="J46:L46"/>
    <mergeCell ref="G16:I17"/>
    <mergeCell ref="G19:I19"/>
    <mergeCell ref="B14:D14"/>
    <mergeCell ref="G18:I18"/>
    <mergeCell ref="B4:E4"/>
    <mergeCell ref="J16:N17"/>
    <mergeCell ref="A16:A17"/>
    <mergeCell ref="J19:N19"/>
    <mergeCell ref="A7:E7"/>
    <mergeCell ref="B13:D13"/>
    <mergeCell ref="B3:E3"/>
    <mergeCell ref="E45:L45"/>
    <mergeCell ref="B6:E6"/>
    <mergeCell ref="F16:F17"/>
    <mergeCell ref="C53:C54"/>
    <mergeCell ref="J18:N18"/>
    <mergeCell ref="E53:E54"/>
    <mergeCell ref="B53:B54"/>
    <mergeCell ref="L49:M49"/>
    <mergeCell ref="N53:N54"/>
    <mergeCell ref="B49:B50"/>
    <mergeCell ref="J47:L47"/>
    <mergeCell ref="D49:D50"/>
    <mergeCell ref="B45:B46"/>
    <mergeCell ref="A44:N44"/>
    <mergeCell ref="C16:D16"/>
    <mergeCell ref="J43:N43"/>
    <mergeCell ref="F49:K49"/>
    <mergeCell ref="A49:A50"/>
    <mergeCell ref="B16:B17"/>
    <mergeCell ref="B8:D8"/>
    <mergeCell ref="G20:I20"/>
    <mergeCell ref="M47:N47"/>
    <mergeCell ref="E49:E50"/>
    <mergeCell ref="B9:D9"/>
    <mergeCell ref="B10:D10"/>
    <mergeCell ref="B11:D11"/>
    <mergeCell ref="B12:D12"/>
    <mergeCell ref="G21:I21"/>
    <mergeCell ref="J21:N21"/>
    <mergeCell ref="J22:N22"/>
    <mergeCell ref="J23:N23"/>
    <mergeCell ref="J24:N24"/>
    <mergeCell ref="J25:N25"/>
  </mergeCells>
  <hyperlinks>
    <hyperlink ref="A1" location="'Clases'!A1" display="&lt;-Volver al inicio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0"/>
  <sheetViews>
    <sheetView topLeftCell="C9" workbookViewId="0">
      <selection activeCell="B9" sqref="B9:D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5703125" style="1" customWidth="1"/>
    <col min="5" max="5" width="79.140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Clases!A15</f>
        <v>EmployeeFlightSummary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Clases!C15</f>
        <v>Estructura que representa el resumen acumulado de horas de vuelo de un empleado en un período determinado, incluyendo tiempo de vuelo, tiempo de bloque, cantidad de vuelos y aterrizajes realizados.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145</v>
      </c>
      <c r="C9" s="108"/>
      <c r="D9" s="109"/>
      <c r="E9" s="42" t="str">
        <f>HYPERLINK("#'"&amp;F9&amp;"'!A1", F9)</f>
        <v>Employee</v>
      </c>
      <c r="F9" s="44" t="s">
        <v>6</v>
      </c>
    </row>
    <row r="10" spans="1:14" ht="15.75" customHeight="1" thickBot="1">
      <c r="A10" s="9" t="s">
        <v>164</v>
      </c>
      <c r="B10" s="87" t="s">
        <v>277</v>
      </c>
      <c r="C10" s="111"/>
      <c r="D10" s="112"/>
      <c r="E10" s="42" t="str">
        <f>HYPERLINK("#'"&amp;F10&amp;"'!A1", F10)</f>
        <v>PeriodInfo</v>
      </c>
      <c r="F10" s="44" t="s">
        <v>43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105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80</v>
      </c>
      <c r="C14" s="3" t="s">
        <v>81</v>
      </c>
      <c r="D14" s="3"/>
      <c r="E14" s="3" t="s">
        <v>113</v>
      </c>
      <c r="F14" s="3" t="s">
        <v>83</v>
      </c>
      <c r="G14" s="53"/>
      <c r="H14" s="108"/>
      <c r="I14" s="109"/>
      <c r="J14" s="98" t="s">
        <v>278</v>
      </c>
      <c r="K14" s="108"/>
      <c r="L14" s="108"/>
      <c r="M14" s="108"/>
      <c r="N14" s="109"/>
    </row>
    <row r="15" spans="1:14">
      <c r="A15" s="6" t="s">
        <v>62</v>
      </c>
      <c r="B15" s="3" t="s">
        <v>224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98" t="s">
        <v>225</v>
      </c>
      <c r="K15" s="108"/>
      <c r="L15" s="108"/>
      <c r="M15" s="108"/>
      <c r="N15" s="109"/>
    </row>
    <row r="16" spans="1:14">
      <c r="A16" s="6" t="s">
        <v>62</v>
      </c>
      <c r="B16" s="3" t="s">
        <v>279</v>
      </c>
      <c r="C16" s="3" t="s">
        <v>81</v>
      </c>
      <c r="D16" s="3"/>
      <c r="E16" s="3" t="s">
        <v>113</v>
      </c>
      <c r="F16" s="3" t="s">
        <v>83</v>
      </c>
      <c r="G16" s="53"/>
      <c r="H16" s="108"/>
      <c r="I16" s="109"/>
      <c r="J16" s="98" t="s">
        <v>280</v>
      </c>
      <c r="K16" s="108"/>
      <c r="L16" s="108"/>
      <c r="M16" s="108"/>
      <c r="N16" s="109"/>
    </row>
    <row r="17" spans="1:14">
      <c r="A17" s="6" t="s">
        <v>62</v>
      </c>
      <c r="B17" s="3" t="s">
        <v>281</v>
      </c>
      <c r="C17" s="3" t="s">
        <v>227</v>
      </c>
      <c r="D17" s="3"/>
      <c r="E17" s="3" t="s">
        <v>113</v>
      </c>
      <c r="F17" s="3" t="s">
        <v>83</v>
      </c>
      <c r="G17" s="84"/>
      <c r="H17" s="85"/>
      <c r="I17" s="86"/>
      <c r="J17" s="96" t="s">
        <v>282</v>
      </c>
      <c r="K17" s="97"/>
      <c r="L17" s="97"/>
      <c r="M17" s="97"/>
      <c r="N17" s="99"/>
    </row>
    <row r="18" spans="1:14">
      <c r="A18" s="6" t="s">
        <v>62</v>
      </c>
      <c r="B18" s="3" t="s">
        <v>283</v>
      </c>
      <c r="C18" s="3" t="s">
        <v>227</v>
      </c>
      <c r="D18" s="3"/>
      <c r="E18" s="3" t="s">
        <v>113</v>
      </c>
      <c r="F18" s="3" t="s">
        <v>83</v>
      </c>
      <c r="G18" s="84"/>
      <c r="H18" s="85"/>
      <c r="I18" s="86"/>
      <c r="J18" s="96" t="s">
        <v>284</v>
      </c>
      <c r="K18" s="97"/>
      <c r="L18" s="97"/>
      <c r="M18" s="97"/>
      <c r="N18" s="99"/>
    </row>
    <row r="19" spans="1:14">
      <c r="A19" s="6" t="s">
        <v>62</v>
      </c>
      <c r="B19" s="3" t="s">
        <v>285</v>
      </c>
      <c r="C19" s="3" t="s">
        <v>81</v>
      </c>
      <c r="D19" s="3"/>
      <c r="E19" s="3" t="s">
        <v>113</v>
      </c>
      <c r="F19" s="3" t="s">
        <v>83</v>
      </c>
      <c r="G19" s="84"/>
      <c r="H19" s="85"/>
      <c r="I19" s="86"/>
      <c r="J19" s="96" t="s">
        <v>286</v>
      </c>
      <c r="K19" s="97"/>
      <c r="L19" s="97"/>
      <c r="M19" s="97"/>
      <c r="N19" s="99"/>
    </row>
    <row r="20" spans="1:14">
      <c r="A20" s="6" t="s">
        <v>62</v>
      </c>
      <c r="B20" s="3" t="s">
        <v>287</v>
      </c>
      <c r="C20" s="3" t="s">
        <v>81</v>
      </c>
      <c r="D20" s="3"/>
      <c r="E20" s="3" t="s">
        <v>113</v>
      </c>
      <c r="F20" s="3" t="s">
        <v>83</v>
      </c>
      <c r="G20" s="84"/>
      <c r="H20" s="85"/>
      <c r="I20" s="86"/>
      <c r="J20" s="96" t="s">
        <v>288</v>
      </c>
      <c r="K20" s="97"/>
      <c r="L20" s="97"/>
      <c r="M20" s="97"/>
      <c r="N20" s="99"/>
    </row>
    <row r="21" spans="1:14">
      <c r="A21" s="6" t="s">
        <v>62</v>
      </c>
      <c r="B21" s="3" t="s">
        <v>289</v>
      </c>
      <c r="C21" s="3" t="s">
        <v>227</v>
      </c>
      <c r="D21" s="3"/>
      <c r="E21" s="3" t="s">
        <v>113</v>
      </c>
      <c r="F21" s="3" t="s">
        <v>83</v>
      </c>
      <c r="G21" s="84"/>
      <c r="H21" s="85"/>
      <c r="I21" s="86"/>
      <c r="J21" s="96" t="s">
        <v>290</v>
      </c>
      <c r="K21" s="97"/>
      <c r="L21" s="97"/>
      <c r="M21" s="97"/>
      <c r="N21" s="99"/>
    </row>
    <row r="22" spans="1:14">
      <c r="A22" s="6" t="s">
        <v>62</v>
      </c>
      <c r="B22" s="3" t="s">
        <v>291</v>
      </c>
      <c r="C22" s="3" t="s">
        <v>227</v>
      </c>
      <c r="D22" s="3"/>
      <c r="E22" s="3" t="s">
        <v>113</v>
      </c>
      <c r="F22" s="3" t="s">
        <v>83</v>
      </c>
      <c r="G22" s="71"/>
      <c r="H22" s="71"/>
      <c r="I22" s="71"/>
      <c r="J22" s="96" t="s">
        <v>292</v>
      </c>
      <c r="K22" s="97"/>
      <c r="L22" s="97"/>
      <c r="M22" s="97"/>
      <c r="N22" s="99"/>
    </row>
    <row r="23" spans="1:14">
      <c r="A23" s="6" t="s">
        <v>62</v>
      </c>
      <c r="B23" s="3" t="s">
        <v>293</v>
      </c>
      <c r="C23" s="3" t="s">
        <v>227</v>
      </c>
      <c r="D23" s="3"/>
      <c r="E23" s="3" t="s">
        <v>113</v>
      </c>
      <c r="F23" s="3" t="s">
        <v>83</v>
      </c>
      <c r="G23" s="84"/>
      <c r="H23" s="85"/>
      <c r="I23" s="86"/>
      <c r="J23" s="96" t="s">
        <v>294</v>
      </c>
      <c r="K23" s="97"/>
      <c r="L23" s="97"/>
      <c r="M23" s="97"/>
      <c r="N23" s="99"/>
    </row>
    <row r="24" spans="1:14">
      <c r="A24" s="6" t="s">
        <v>62</v>
      </c>
      <c r="B24" s="3" t="s">
        <v>295</v>
      </c>
      <c r="C24" s="3" t="s">
        <v>227</v>
      </c>
      <c r="D24" s="3"/>
      <c r="E24" s="3" t="s">
        <v>113</v>
      </c>
      <c r="F24" s="3" t="s">
        <v>83</v>
      </c>
      <c r="G24" s="84"/>
      <c r="H24" s="85"/>
      <c r="I24" s="86"/>
      <c r="J24" s="96" t="s">
        <v>296</v>
      </c>
      <c r="K24" s="97"/>
      <c r="L24" s="97"/>
      <c r="M24" s="97"/>
      <c r="N24" s="99"/>
    </row>
    <row r="25" spans="1:14">
      <c r="A25" s="6" t="s">
        <v>62</v>
      </c>
      <c r="B25" s="3" t="s">
        <v>297</v>
      </c>
      <c r="C25" s="3" t="s">
        <v>227</v>
      </c>
      <c r="D25" s="3"/>
      <c r="E25" s="3" t="s">
        <v>113</v>
      </c>
      <c r="F25" s="3" t="s">
        <v>83</v>
      </c>
      <c r="G25" s="84"/>
      <c r="H25" s="85"/>
      <c r="I25" s="86"/>
      <c r="J25" s="96" t="s">
        <v>298</v>
      </c>
      <c r="K25" s="97"/>
      <c r="L25" s="97"/>
      <c r="M25" s="97"/>
      <c r="N25" s="99"/>
    </row>
    <row r="26" spans="1:14">
      <c r="A26" s="6" t="s">
        <v>62</v>
      </c>
      <c r="B26" s="3" t="s">
        <v>299</v>
      </c>
      <c r="C26" s="3" t="s">
        <v>81</v>
      </c>
      <c r="D26" s="3"/>
      <c r="E26" s="3" t="s">
        <v>113</v>
      </c>
      <c r="F26" s="3" t="s">
        <v>83</v>
      </c>
      <c r="G26" s="84"/>
      <c r="H26" s="85"/>
      <c r="I26" s="86"/>
      <c r="J26" s="96" t="s">
        <v>300</v>
      </c>
      <c r="K26" s="97"/>
      <c r="L26" s="97"/>
      <c r="M26" s="97"/>
      <c r="N26" s="99"/>
    </row>
    <row r="27" spans="1:14">
      <c r="A27" s="6" t="s">
        <v>62</v>
      </c>
      <c r="B27" s="3" t="s">
        <v>301</v>
      </c>
      <c r="C27" s="3" t="s">
        <v>81</v>
      </c>
      <c r="D27" s="3"/>
      <c r="E27" s="3" t="s">
        <v>113</v>
      </c>
      <c r="F27" s="3" t="s">
        <v>83</v>
      </c>
      <c r="G27" s="84"/>
      <c r="H27" s="85"/>
      <c r="I27" s="86"/>
      <c r="J27" s="98" t="s">
        <v>302</v>
      </c>
      <c r="K27" s="108"/>
      <c r="L27" s="108"/>
      <c r="M27" s="108"/>
      <c r="N27" s="109"/>
    </row>
    <row r="28" spans="1:14">
      <c r="A28" s="64" t="s">
        <v>97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9"/>
    </row>
    <row r="29" spans="1:14">
      <c r="A29" s="62" t="s">
        <v>105</v>
      </c>
      <c r="B29" s="54" t="s">
        <v>73</v>
      </c>
      <c r="C29" s="54" t="s">
        <v>98</v>
      </c>
      <c r="D29" s="54" t="s">
        <v>99</v>
      </c>
      <c r="E29" s="54" t="s">
        <v>100</v>
      </c>
      <c r="F29" s="108"/>
      <c r="G29" s="108"/>
      <c r="H29" s="108"/>
      <c r="I29" s="108"/>
      <c r="J29" s="108"/>
      <c r="K29" s="108"/>
      <c r="L29" s="109"/>
      <c r="M29" s="54" t="s">
        <v>101</v>
      </c>
      <c r="N29" s="112"/>
    </row>
    <row r="30" spans="1:14">
      <c r="A30" s="113"/>
      <c r="B30" s="114"/>
      <c r="C30" s="114"/>
      <c r="D30" s="114"/>
      <c r="E30" s="11" t="s">
        <v>73</v>
      </c>
      <c r="F30" s="11" t="s">
        <v>74</v>
      </c>
      <c r="G30" s="11" t="s">
        <v>79</v>
      </c>
      <c r="H30" s="11" t="s">
        <v>102</v>
      </c>
      <c r="I30" s="11" t="s">
        <v>75</v>
      </c>
      <c r="J30" s="54" t="s">
        <v>99</v>
      </c>
      <c r="K30" s="108"/>
      <c r="L30" s="109"/>
      <c r="M30" s="115"/>
      <c r="N30" s="117"/>
    </row>
    <row r="31" spans="1:14">
      <c r="A31" s="6" t="s">
        <v>10</v>
      </c>
      <c r="B31" s="3"/>
      <c r="C31" s="3"/>
      <c r="D31" s="3" t="s">
        <v>103</v>
      </c>
      <c r="E31" s="3"/>
      <c r="F31" s="3"/>
      <c r="G31" s="3"/>
      <c r="H31" s="3"/>
      <c r="I31" s="3"/>
      <c r="J31" s="53"/>
      <c r="K31" s="108"/>
      <c r="L31" s="109"/>
      <c r="M31" s="63"/>
      <c r="N31" s="110"/>
    </row>
    <row r="32" spans="1:14">
      <c r="A32" s="6"/>
      <c r="B32" s="3"/>
      <c r="C32" s="3"/>
      <c r="D32" s="3"/>
      <c r="E32" s="3"/>
      <c r="F32" s="3"/>
      <c r="G32" s="3"/>
      <c r="H32" s="3"/>
      <c r="I32" s="3"/>
      <c r="J32" s="53"/>
      <c r="K32" s="108"/>
      <c r="L32" s="109"/>
      <c r="M32" s="63"/>
      <c r="N32" s="110"/>
    </row>
    <row r="33" spans="1:14">
      <c r="A33" s="61" t="s">
        <v>104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9"/>
    </row>
    <row r="34" spans="1:14">
      <c r="A34" s="65" t="s">
        <v>105</v>
      </c>
      <c r="B34" s="66" t="s">
        <v>73</v>
      </c>
      <c r="C34" s="66" t="s">
        <v>106</v>
      </c>
      <c r="D34" s="66" t="s">
        <v>107</v>
      </c>
      <c r="E34" s="66" t="s">
        <v>99</v>
      </c>
      <c r="F34" s="66" t="s">
        <v>100</v>
      </c>
      <c r="G34" s="108"/>
      <c r="H34" s="108"/>
      <c r="I34" s="108"/>
      <c r="J34" s="108"/>
      <c r="K34" s="109"/>
      <c r="L34" s="66" t="s">
        <v>108</v>
      </c>
      <c r="M34" s="109"/>
      <c r="N34" s="60" t="s">
        <v>101</v>
      </c>
    </row>
    <row r="35" spans="1:14">
      <c r="A35" s="113"/>
      <c r="B35" s="114"/>
      <c r="C35" s="114"/>
      <c r="D35" s="114"/>
      <c r="E35" s="114"/>
      <c r="F35" s="12" t="s">
        <v>73</v>
      </c>
      <c r="G35" s="12" t="s">
        <v>74</v>
      </c>
      <c r="H35" s="12" t="s">
        <v>79</v>
      </c>
      <c r="I35" s="12" t="s">
        <v>102</v>
      </c>
      <c r="J35" s="12" t="s">
        <v>75</v>
      </c>
      <c r="K35" s="12" t="s">
        <v>99</v>
      </c>
      <c r="L35" s="12" t="s">
        <v>74</v>
      </c>
      <c r="M35" s="12" t="s">
        <v>79</v>
      </c>
      <c r="N35" s="118"/>
    </row>
    <row r="36" spans="1:14">
      <c r="A36" s="6" t="s">
        <v>10</v>
      </c>
      <c r="B36" s="3"/>
      <c r="C36" s="3"/>
      <c r="D36" s="3"/>
      <c r="E36" s="3" t="s">
        <v>109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76" t="s">
        <v>110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9"/>
    </row>
    <row r="38" spans="1:14">
      <c r="A38" s="77" t="s">
        <v>105</v>
      </c>
      <c r="B38" s="70" t="s">
        <v>73</v>
      </c>
      <c r="C38" s="70" t="s">
        <v>111</v>
      </c>
      <c r="D38" s="70" t="s">
        <v>107</v>
      </c>
      <c r="E38" s="70" t="s">
        <v>99</v>
      </c>
      <c r="F38" s="70" t="s">
        <v>100</v>
      </c>
      <c r="G38" s="108"/>
      <c r="H38" s="108"/>
      <c r="I38" s="108"/>
      <c r="J38" s="108"/>
      <c r="K38" s="109"/>
      <c r="L38" s="70" t="s">
        <v>108</v>
      </c>
      <c r="M38" s="109"/>
      <c r="N38" s="75" t="s">
        <v>101</v>
      </c>
    </row>
    <row r="39" spans="1:14">
      <c r="A39" s="113"/>
      <c r="B39" s="114"/>
      <c r="C39" s="114"/>
      <c r="D39" s="114"/>
      <c r="E39" s="114"/>
      <c r="F39" s="13" t="s">
        <v>73</v>
      </c>
      <c r="G39" s="13" t="s">
        <v>74</v>
      </c>
      <c r="H39" s="13" t="s">
        <v>79</v>
      </c>
      <c r="I39" s="13" t="s">
        <v>102</v>
      </c>
      <c r="J39" s="13" t="s">
        <v>75</v>
      </c>
      <c r="K39" s="13" t="s">
        <v>99</v>
      </c>
      <c r="L39" s="13" t="s">
        <v>74</v>
      </c>
      <c r="M39" s="13" t="s">
        <v>79</v>
      </c>
      <c r="N39" s="118"/>
    </row>
    <row r="40" spans="1:14">
      <c r="A40" s="6" t="s">
        <v>62</v>
      </c>
      <c r="B40" s="3" t="s">
        <v>112</v>
      </c>
      <c r="C40" s="3" t="s">
        <v>83</v>
      </c>
      <c r="D40" s="3" t="s">
        <v>113</v>
      </c>
      <c r="E40" s="3" t="s">
        <v>303</v>
      </c>
      <c r="F40" s="3"/>
      <c r="G40" s="3"/>
      <c r="H40" s="3"/>
      <c r="I40" s="3"/>
      <c r="J40" s="3"/>
      <c r="K40" s="3"/>
      <c r="L40" s="3" t="s">
        <v>115</v>
      </c>
      <c r="M40" s="3"/>
      <c r="N40" s="7"/>
    </row>
  </sheetData>
  <mergeCells count="76">
    <mergeCell ref="B2:E2"/>
    <mergeCell ref="N34:N35"/>
    <mergeCell ref="A33:N33"/>
    <mergeCell ref="A29:A30"/>
    <mergeCell ref="D38:D39"/>
    <mergeCell ref="F38:K38"/>
    <mergeCell ref="C29:C30"/>
    <mergeCell ref="D29:D30"/>
    <mergeCell ref="E12:E13"/>
    <mergeCell ref="C34:C35"/>
    <mergeCell ref="A37:N37"/>
    <mergeCell ref="B6:E6"/>
    <mergeCell ref="F12:F13"/>
    <mergeCell ref="C38:C39"/>
    <mergeCell ref="J14:N14"/>
    <mergeCell ref="G27:I27"/>
    <mergeCell ref="A7:E7"/>
    <mergeCell ref="B9:D9"/>
    <mergeCell ref="B3:E3"/>
    <mergeCell ref="E29:L29"/>
    <mergeCell ref="A38:A39"/>
    <mergeCell ref="G26:I26"/>
    <mergeCell ref="L38:M38"/>
    <mergeCell ref="M29:N30"/>
    <mergeCell ref="J16:N16"/>
    <mergeCell ref="J31:L31"/>
    <mergeCell ref="J25:N25"/>
    <mergeCell ref="J26:N26"/>
    <mergeCell ref="G17:I17"/>
    <mergeCell ref="G18:I18"/>
    <mergeCell ref="G19:I19"/>
    <mergeCell ref="G20:I20"/>
    <mergeCell ref="N38:N39"/>
    <mergeCell ref="B34:B35"/>
    <mergeCell ref="M32:N32"/>
    <mergeCell ref="D34:D35"/>
    <mergeCell ref="A1:E1"/>
    <mergeCell ref="A11:N11"/>
    <mergeCell ref="B5:E5"/>
    <mergeCell ref="J30:L30"/>
    <mergeCell ref="G12:I13"/>
    <mergeCell ref="G15:I15"/>
    <mergeCell ref="B10:D10"/>
    <mergeCell ref="G14:I14"/>
    <mergeCell ref="B4:E4"/>
    <mergeCell ref="J12:N13"/>
    <mergeCell ref="A12:A13"/>
    <mergeCell ref="J15:N15"/>
    <mergeCell ref="F34:K34"/>
    <mergeCell ref="A34:A35"/>
    <mergeCell ref="B12:B13"/>
    <mergeCell ref="E38:E39"/>
    <mergeCell ref="B38:B39"/>
    <mergeCell ref="J32:L32"/>
    <mergeCell ref="L34:M34"/>
    <mergeCell ref="G22:I22"/>
    <mergeCell ref="G21:I21"/>
    <mergeCell ref="G23:I23"/>
    <mergeCell ref="G24:I24"/>
    <mergeCell ref="G25:I25"/>
    <mergeCell ref="B8:D8"/>
    <mergeCell ref="G16:I16"/>
    <mergeCell ref="M31:N31"/>
    <mergeCell ref="E34:E35"/>
    <mergeCell ref="J17:N17"/>
    <mergeCell ref="J18:N18"/>
    <mergeCell ref="J19:N19"/>
    <mergeCell ref="J20:N20"/>
    <mergeCell ref="J21:N21"/>
    <mergeCell ref="J22:N22"/>
    <mergeCell ref="J23:N23"/>
    <mergeCell ref="J24:N24"/>
    <mergeCell ref="B29:B30"/>
    <mergeCell ref="A28:N28"/>
    <mergeCell ref="C12:D12"/>
    <mergeCell ref="J27:N27"/>
  </mergeCells>
  <hyperlinks>
    <hyperlink ref="A1" location="'Clases'!A1" display="&lt;-Volver al inicio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2"/>
  <sheetViews>
    <sheetView workbookViewId="0">
      <selection activeCell="J15" sqref="J15:N1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7109375" style="1" customWidth="1"/>
    <col min="5" max="5" width="119.425781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Clases!A16</f>
        <v>FlightHoursSummary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Clases!C16</f>
        <v>Estructura que representa un resumen general de horas de vuelo con totales de minutos, vuelos y aterrizajes para un rango de fechas específico.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71</v>
      </c>
      <c r="C9" s="108"/>
      <c r="D9" s="109"/>
      <c r="E9" s="42" t="str">
        <f>HYPERLINK("#'"&amp;F9&amp;"'!A1", F9)</f>
        <v>PilotRoleBreakdown</v>
      </c>
      <c r="F9" s="44" t="s">
        <v>39</v>
      </c>
    </row>
    <row r="10" spans="1:14" ht="15.75" customHeight="1" thickBot="1">
      <c r="A10" s="9" t="s">
        <v>164</v>
      </c>
      <c r="B10" s="87" t="s">
        <v>71</v>
      </c>
      <c r="C10" s="111"/>
      <c r="D10" s="112"/>
      <c r="E10" s="42" t="str">
        <f>HYPERLINK("#'"&amp;F10&amp;"'!A1", F10)</f>
        <v>FlightAlert</v>
      </c>
      <c r="F10" s="44" t="s">
        <v>41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304</v>
      </c>
      <c r="C14" s="3" t="s">
        <v>81</v>
      </c>
      <c r="D14" s="3"/>
      <c r="E14" s="3" t="s">
        <v>113</v>
      </c>
      <c r="F14" s="3" t="s">
        <v>83</v>
      </c>
      <c r="G14" s="53"/>
      <c r="H14" s="108"/>
      <c r="I14" s="109"/>
      <c r="J14" s="98" t="s">
        <v>305</v>
      </c>
      <c r="K14" s="108"/>
      <c r="L14" s="108"/>
      <c r="M14" s="108"/>
      <c r="N14" s="109"/>
    </row>
    <row r="15" spans="1:14">
      <c r="A15" s="6" t="s">
        <v>62</v>
      </c>
      <c r="B15" s="3" t="s">
        <v>135</v>
      </c>
      <c r="C15" s="3" t="s">
        <v>81</v>
      </c>
      <c r="D15" s="3"/>
      <c r="E15" s="3" t="s">
        <v>113</v>
      </c>
      <c r="F15" s="3" t="s">
        <v>83</v>
      </c>
      <c r="G15" s="53"/>
      <c r="H15" s="108"/>
      <c r="I15" s="109"/>
      <c r="J15" s="98" t="s">
        <v>306</v>
      </c>
      <c r="K15" s="108"/>
      <c r="L15" s="108"/>
      <c r="M15" s="108"/>
      <c r="N15" s="109"/>
    </row>
    <row r="16" spans="1:14">
      <c r="A16" s="6" t="s">
        <v>62</v>
      </c>
      <c r="B16" s="3" t="s">
        <v>138</v>
      </c>
      <c r="C16" s="3" t="s">
        <v>81</v>
      </c>
      <c r="D16" s="3"/>
      <c r="E16" s="3" t="s">
        <v>113</v>
      </c>
      <c r="F16" s="3" t="s">
        <v>83</v>
      </c>
      <c r="G16" s="53"/>
      <c r="H16" s="108"/>
      <c r="I16" s="109"/>
      <c r="J16" s="98" t="s">
        <v>307</v>
      </c>
      <c r="K16" s="108"/>
      <c r="L16" s="108"/>
      <c r="M16" s="108"/>
      <c r="N16" s="109"/>
    </row>
    <row r="17" spans="1:14">
      <c r="A17" s="6" t="s">
        <v>62</v>
      </c>
      <c r="B17" s="3" t="s">
        <v>308</v>
      </c>
      <c r="C17" s="3" t="s">
        <v>227</v>
      </c>
      <c r="D17" s="3"/>
      <c r="E17" s="3" t="s">
        <v>113</v>
      </c>
      <c r="F17" s="3" t="s">
        <v>83</v>
      </c>
      <c r="G17" s="22"/>
      <c r="H17" s="25"/>
      <c r="I17" s="26"/>
      <c r="J17" s="96" t="s">
        <v>309</v>
      </c>
      <c r="K17" s="97"/>
      <c r="L17" s="97"/>
      <c r="M17" s="97"/>
      <c r="N17" s="99"/>
    </row>
    <row r="18" spans="1:14">
      <c r="A18" s="6" t="s">
        <v>62</v>
      </c>
      <c r="B18" s="3" t="s">
        <v>293</v>
      </c>
      <c r="C18" s="3" t="s">
        <v>227</v>
      </c>
      <c r="D18" s="3"/>
      <c r="E18" s="3" t="s">
        <v>113</v>
      </c>
      <c r="F18" s="3" t="s">
        <v>83</v>
      </c>
      <c r="G18" s="22"/>
      <c r="H18" s="25"/>
      <c r="I18" s="26"/>
      <c r="J18" s="96" t="s">
        <v>310</v>
      </c>
      <c r="K18" s="97"/>
      <c r="L18" s="97"/>
      <c r="M18" s="97"/>
      <c r="N18" s="99"/>
    </row>
    <row r="19" spans="1:14">
      <c r="A19" s="6" t="s">
        <v>62</v>
      </c>
      <c r="B19" s="3" t="s">
        <v>311</v>
      </c>
      <c r="C19" s="3" t="s">
        <v>227</v>
      </c>
      <c r="D19" s="3"/>
      <c r="E19" s="3" t="s">
        <v>113</v>
      </c>
      <c r="F19" s="3" t="s">
        <v>83</v>
      </c>
      <c r="G19" s="22"/>
      <c r="H19" s="25"/>
      <c r="I19" s="26"/>
      <c r="J19" s="96" t="s">
        <v>312</v>
      </c>
      <c r="K19" s="97"/>
      <c r="L19" s="97"/>
      <c r="M19" s="97"/>
      <c r="N19" s="99"/>
    </row>
    <row r="20" spans="1:14">
      <c r="A20" s="6" t="s">
        <v>62</v>
      </c>
      <c r="B20" s="3" t="s">
        <v>313</v>
      </c>
      <c r="C20" s="3" t="s">
        <v>118</v>
      </c>
      <c r="D20" s="3" t="s">
        <v>314</v>
      </c>
      <c r="E20" s="3" t="s">
        <v>113</v>
      </c>
      <c r="F20" s="3" t="s">
        <v>83</v>
      </c>
      <c r="G20" s="53"/>
      <c r="H20" s="108"/>
      <c r="I20" s="109"/>
      <c r="J20" s="96" t="s">
        <v>315</v>
      </c>
      <c r="K20" s="97"/>
      <c r="L20" s="97"/>
      <c r="M20" s="97"/>
      <c r="N20" s="97"/>
    </row>
    <row r="21" spans="1:14">
      <c r="A21" s="64" t="s">
        <v>97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9"/>
    </row>
    <row r="22" spans="1:14">
      <c r="A22" s="62" t="s">
        <v>4</v>
      </c>
      <c r="B22" s="54" t="s">
        <v>73</v>
      </c>
      <c r="C22" s="54" t="s">
        <v>98</v>
      </c>
      <c r="D22" s="54" t="s">
        <v>99</v>
      </c>
      <c r="E22" s="54" t="s">
        <v>100</v>
      </c>
      <c r="F22" s="108"/>
      <c r="G22" s="108"/>
      <c r="H22" s="108"/>
      <c r="I22" s="108"/>
      <c r="J22" s="108"/>
      <c r="K22" s="108"/>
      <c r="L22" s="109"/>
      <c r="M22" s="54" t="s">
        <v>101</v>
      </c>
      <c r="N22" s="112"/>
    </row>
    <row r="23" spans="1:14">
      <c r="A23" s="113"/>
      <c r="B23" s="114"/>
      <c r="C23" s="114"/>
      <c r="D23" s="114"/>
      <c r="E23" s="11" t="s">
        <v>73</v>
      </c>
      <c r="F23" s="11" t="s">
        <v>74</v>
      </c>
      <c r="G23" s="11" t="s">
        <v>79</v>
      </c>
      <c r="H23" s="11" t="s">
        <v>102</v>
      </c>
      <c r="I23" s="11" t="s">
        <v>75</v>
      </c>
      <c r="J23" s="54" t="s">
        <v>99</v>
      </c>
      <c r="K23" s="108"/>
      <c r="L23" s="109"/>
      <c r="M23" s="115"/>
      <c r="N23" s="117"/>
    </row>
    <row r="24" spans="1:14">
      <c r="A24" s="6" t="s">
        <v>10</v>
      </c>
      <c r="B24" s="3"/>
      <c r="C24" s="3"/>
      <c r="D24" s="3" t="s">
        <v>103</v>
      </c>
      <c r="E24" s="3"/>
      <c r="F24" s="3"/>
      <c r="G24" s="3"/>
      <c r="H24" s="3"/>
      <c r="I24" s="3"/>
      <c r="J24" s="53"/>
      <c r="K24" s="108"/>
      <c r="L24" s="109"/>
      <c r="M24" s="63"/>
      <c r="N24" s="110"/>
    </row>
    <row r="25" spans="1:14">
      <c r="A25" s="61" t="s">
        <v>104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/>
    </row>
    <row r="26" spans="1:14">
      <c r="A26" s="65" t="s">
        <v>4</v>
      </c>
      <c r="B26" s="66" t="s">
        <v>73</v>
      </c>
      <c r="C26" s="66" t="s">
        <v>106</v>
      </c>
      <c r="D26" s="66" t="s">
        <v>107</v>
      </c>
      <c r="E26" s="66" t="s">
        <v>99</v>
      </c>
      <c r="F26" s="66" t="s">
        <v>100</v>
      </c>
      <c r="G26" s="108"/>
      <c r="H26" s="108"/>
      <c r="I26" s="108"/>
      <c r="J26" s="108"/>
      <c r="K26" s="109"/>
      <c r="L26" s="66" t="s">
        <v>108</v>
      </c>
      <c r="M26" s="109"/>
      <c r="N26" s="60" t="s">
        <v>101</v>
      </c>
    </row>
    <row r="27" spans="1:14">
      <c r="A27" s="113"/>
      <c r="B27" s="114"/>
      <c r="C27" s="114"/>
      <c r="D27" s="114"/>
      <c r="E27" s="114"/>
      <c r="F27" s="12" t="s">
        <v>73</v>
      </c>
      <c r="G27" s="12" t="s">
        <v>74</v>
      </c>
      <c r="H27" s="12" t="s">
        <v>79</v>
      </c>
      <c r="I27" s="12" t="s">
        <v>102</v>
      </c>
      <c r="J27" s="12" t="s">
        <v>75</v>
      </c>
      <c r="K27" s="12" t="s">
        <v>99</v>
      </c>
      <c r="L27" s="12" t="s">
        <v>74</v>
      </c>
      <c r="M27" s="12" t="s">
        <v>79</v>
      </c>
      <c r="N27" s="118"/>
    </row>
    <row r="28" spans="1:14">
      <c r="A28" s="6" t="s">
        <v>10</v>
      </c>
      <c r="B28" s="3"/>
      <c r="C28" s="3"/>
      <c r="D28" s="3"/>
      <c r="E28" s="3" t="s">
        <v>109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76" t="s">
        <v>110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9"/>
    </row>
    <row r="30" spans="1:14">
      <c r="A30" s="77" t="s">
        <v>4</v>
      </c>
      <c r="B30" s="70" t="s">
        <v>73</v>
      </c>
      <c r="C30" s="70" t="s">
        <v>111</v>
      </c>
      <c r="D30" s="70" t="s">
        <v>107</v>
      </c>
      <c r="E30" s="70" t="s">
        <v>99</v>
      </c>
      <c r="F30" s="70" t="s">
        <v>100</v>
      </c>
      <c r="G30" s="108"/>
      <c r="H30" s="108"/>
      <c r="I30" s="108"/>
      <c r="J30" s="108"/>
      <c r="K30" s="109"/>
      <c r="L30" s="70" t="s">
        <v>108</v>
      </c>
      <c r="M30" s="109"/>
      <c r="N30" s="75" t="s">
        <v>101</v>
      </c>
    </row>
    <row r="31" spans="1:14">
      <c r="A31" s="113"/>
      <c r="B31" s="114"/>
      <c r="C31" s="114"/>
      <c r="D31" s="114"/>
      <c r="E31" s="114"/>
      <c r="F31" s="13" t="s">
        <v>73</v>
      </c>
      <c r="G31" s="13" t="s">
        <v>74</v>
      </c>
      <c r="H31" s="13" t="s">
        <v>79</v>
      </c>
      <c r="I31" s="13" t="s">
        <v>102</v>
      </c>
      <c r="J31" s="13" t="s">
        <v>75</v>
      </c>
      <c r="K31" s="13" t="s">
        <v>99</v>
      </c>
      <c r="L31" s="13" t="s">
        <v>74</v>
      </c>
      <c r="M31" s="13" t="s">
        <v>79</v>
      </c>
      <c r="N31" s="118"/>
    </row>
    <row r="32" spans="1:14">
      <c r="A32" s="6" t="s">
        <v>10</v>
      </c>
      <c r="B32" s="3"/>
      <c r="C32" s="3"/>
      <c r="D32" s="3"/>
      <c r="E32" s="3" t="s">
        <v>316</v>
      </c>
      <c r="F32" s="3"/>
      <c r="G32" s="3"/>
      <c r="H32" s="3"/>
      <c r="I32" s="3"/>
      <c r="J32" s="3"/>
      <c r="K32" s="3"/>
      <c r="L32" s="3"/>
      <c r="M32" s="3"/>
      <c r="N32" s="7"/>
    </row>
  </sheetData>
  <mergeCells count="57">
    <mergeCell ref="L30:M30"/>
    <mergeCell ref="M22:N23"/>
    <mergeCell ref="J16:N16"/>
    <mergeCell ref="A30:A31"/>
    <mergeCell ref="B2:E2"/>
    <mergeCell ref="N26:N27"/>
    <mergeCell ref="A25:N25"/>
    <mergeCell ref="A22:A23"/>
    <mergeCell ref="D30:D31"/>
    <mergeCell ref="F30:K30"/>
    <mergeCell ref="C22:C23"/>
    <mergeCell ref="D22:D23"/>
    <mergeCell ref="E12:E13"/>
    <mergeCell ref="G20:I20"/>
    <mergeCell ref="C26:C27"/>
    <mergeCell ref="A29:N29"/>
    <mergeCell ref="A1:E1"/>
    <mergeCell ref="A11:N11"/>
    <mergeCell ref="B5:E5"/>
    <mergeCell ref="J23:L23"/>
    <mergeCell ref="G12:I13"/>
    <mergeCell ref="G15:I15"/>
    <mergeCell ref="B10:D10"/>
    <mergeCell ref="G14:I14"/>
    <mergeCell ref="B4:E4"/>
    <mergeCell ref="J12:N13"/>
    <mergeCell ref="A12:A13"/>
    <mergeCell ref="J15:N15"/>
    <mergeCell ref="A7:E7"/>
    <mergeCell ref="B9:D9"/>
    <mergeCell ref="B3:E3"/>
    <mergeCell ref="E22:L22"/>
    <mergeCell ref="B6:E6"/>
    <mergeCell ref="F12:F13"/>
    <mergeCell ref="C30:C31"/>
    <mergeCell ref="J14:N14"/>
    <mergeCell ref="E30:E31"/>
    <mergeCell ref="B30:B31"/>
    <mergeCell ref="L26:M26"/>
    <mergeCell ref="N30:N31"/>
    <mergeCell ref="B26:B27"/>
    <mergeCell ref="J24:L24"/>
    <mergeCell ref="D26:D27"/>
    <mergeCell ref="B22:B23"/>
    <mergeCell ref="A21:N21"/>
    <mergeCell ref="C12:D12"/>
    <mergeCell ref="J20:N20"/>
    <mergeCell ref="F26:K26"/>
    <mergeCell ref="A26:A27"/>
    <mergeCell ref="B12:B13"/>
    <mergeCell ref="B8:D8"/>
    <mergeCell ref="G16:I16"/>
    <mergeCell ref="M24:N24"/>
    <mergeCell ref="E26:E27"/>
    <mergeCell ref="J17:N17"/>
    <mergeCell ref="J18:N18"/>
    <mergeCell ref="J19:N19"/>
  </mergeCells>
  <hyperlinks>
    <hyperlink ref="A1" location="'Clases'!A1" display="&lt;-Volver al inicio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6"/>
  <sheetViews>
    <sheetView workbookViewId="0">
      <selection activeCell="B16" sqref="B16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85546875" style="1" customWidth="1"/>
    <col min="5" max="5" width="83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23.7109375" style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Clases!A20</f>
        <v>Message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Clases!C20</f>
        <v>Estructura que representa un mensaje del sistema utilizado para comunicar errores, información, advertencias o confirmaciones al usuario.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164</v>
      </c>
      <c r="B9" s="53" t="s">
        <v>277</v>
      </c>
      <c r="C9" s="108"/>
      <c r="D9" s="109"/>
      <c r="E9" s="42" t="str">
        <f>HYPERLINK("#'"&amp;F9&amp;"'!A1", F9)</f>
        <v>MessageType</v>
      </c>
      <c r="F9" s="44" t="s">
        <v>56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80</v>
      </c>
      <c r="C13" s="3" t="s">
        <v>81</v>
      </c>
      <c r="D13" s="3"/>
      <c r="E13" s="3" t="s">
        <v>82</v>
      </c>
      <c r="F13" s="3" t="s">
        <v>83</v>
      </c>
      <c r="G13" s="53"/>
      <c r="H13" s="108"/>
      <c r="I13" s="109"/>
      <c r="J13" s="98" t="s">
        <v>317</v>
      </c>
      <c r="K13" s="108"/>
      <c r="L13" s="108"/>
      <c r="M13" s="108"/>
      <c r="N13" s="109"/>
    </row>
    <row r="14" spans="1:14">
      <c r="A14" s="6" t="s">
        <v>62</v>
      </c>
      <c r="B14" s="3" t="s">
        <v>318</v>
      </c>
      <c r="C14" s="3" t="s">
        <v>81</v>
      </c>
      <c r="D14" s="3"/>
      <c r="E14" s="3" t="s">
        <v>82</v>
      </c>
      <c r="F14" s="3" t="s">
        <v>83</v>
      </c>
      <c r="G14" s="53"/>
      <c r="H14" s="108"/>
      <c r="I14" s="109"/>
      <c r="J14" s="98" t="s">
        <v>319</v>
      </c>
      <c r="K14" s="108"/>
      <c r="L14" s="108"/>
      <c r="M14" s="108"/>
      <c r="N14" s="109"/>
    </row>
    <row r="15" spans="1:14">
      <c r="A15" s="6" t="s">
        <v>62</v>
      </c>
      <c r="B15" s="3" t="s">
        <v>320</v>
      </c>
      <c r="C15" s="3" t="s">
        <v>118</v>
      </c>
      <c r="D15" s="3" t="s">
        <v>56</v>
      </c>
      <c r="E15" s="3" t="s">
        <v>82</v>
      </c>
      <c r="F15" s="3" t="s">
        <v>83</v>
      </c>
      <c r="G15" s="53"/>
      <c r="H15" s="108"/>
      <c r="I15" s="109"/>
      <c r="J15" s="98" t="s">
        <v>321</v>
      </c>
      <c r="K15" s="108"/>
      <c r="L15" s="108"/>
      <c r="M15" s="108"/>
      <c r="N15" s="109"/>
    </row>
    <row r="16" spans="1:14">
      <c r="A16" s="6" t="s">
        <v>62</v>
      </c>
      <c r="B16" s="3" t="s">
        <v>322</v>
      </c>
      <c r="C16" s="3" t="s">
        <v>81</v>
      </c>
      <c r="D16" s="3"/>
      <c r="E16" s="3" t="s">
        <v>82</v>
      </c>
      <c r="F16" s="3" t="s">
        <v>83</v>
      </c>
      <c r="G16" s="22"/>
      <c r="H16" s="25"/>
      <c r="I16" s="26"/>
      <c r="J16" s="96" t="s">
        <v>323</v>
      </c>
      <c r="K16" s="97"/>
      <c r="L16" s="97"/>
      <c r="M16" s="97"/>
      <c r="N16" s="99"/>
    </row>
    <row r="17" spans="1:14">
      <c r="A17" s="6" t="s">
        <v>62</v>
      </c>
      <c r="B17" s="3" t="s">
        <v>324</v>
      </c>
      <c r="C17" s="3" t="s">
        <v>81</v>
      </c>
      <c r="D17" s="3"/>
      <c r="E17" s="3" t="s">
        <v>82</v>
      </c>
      <c r="F17" s="3" t="s">
        <v>83</v>
      </c>
      <c r="G17" s="22"/>
      <c r="H17" s="25"/>
      <c r="I17" s="26"/>
      <c r="J17" s="96" t="s">
        <v>325</v>
      </c>
      <c r="K17" s="97"/>
      <c r="L17" s="97"/>
      <c r="M17" s="97"/>
      <c r="N17" s="99"/>
    </row>
    <row r="18" spans="1:14">
      <c r="A18" s="6" t="s">
        <v>62</v>
      </c>
      <c r="B18" s="3" t="s">
        <v>326</v>
      </c>
      <c r="C18" s="3" t="s">
        <v>81</v>
      </c>
      <c r="D18" s="3"/>
      <c r="E18" s="3" t="s">
        <v>82</v>
      </c>
      <c r="F18" s="3" t="s">
        <v>83</v>
      </c>
      <c r="G18" s="22"/>
      <c r="H18" s="25"/>
      <c r="I18" s="26"/>
      <c r="J18" s="96" t="s">
        <v>327</v>
      </c>
      <c r="K18" s="97"/>
      <c r="L18" s="97"/>
      <c r="M18" s="97"/>
      <c r="N18" s="99"/>
    </row>
    <row r="19" spans="1:14">
      <c r="A19" s="6" t="s">
        <v>62</v>
      </c>
      <c r="B19" s="3" t="s">
        <v>328</v>
      </c>
      <c r="C19" s="3" t="s">
        <v>81</v>
      </c>
      <c r="D19" s="3"/>
      <c r="E19" s="3" t="s">
        <v>82</v>
      </c>
      <c r="F19" s="3" t="s">
        <v>83</v>
      </c>
      <c r="G19" s="22"/>
      <c r="H19" s="25"/>
      <c r="I19" s="26"/>
      <c r="J19" s="96" t="s">
        <v>329</v>
      </c>
      <c r="K19" s="97"/>
      <c r="L19" s="97"/>
      <c r="M19" s="97"/>
      <c r="N19" s="99"/>
    </row>
    <row r="20" spans="1:14">
      <c r="A20" s="6" t="s">
        <v>62</v>
      </c>
      <c r="B20" s="3" t="s">
        <v>140</v>
      </c>
      <c r="C20" s="3" t="s">
        <v>141</v>
      </c>
      <c r="D20" s="3"/>
      <c r="E20" s="3" t="s">
        <v>82</v>
      </c>
      <c r="F20" s="3" t="s">
        <v>83</v>
      </c>
      <c r="G20" s="22"/>
      <c r="H20" s="25"/>
      <c r="I20" s="26"/>
      <c r="J20" s="96" t="s">
        <v>330</v>
      </c>
      <c r="K20" s="97"/>
      <c r="L20" s="97"/>
      <c r="M20" s="97"/>
      <c r="N20" s="97"/>
    </row>
    <row r="21" spans="1:14">
      <c r="A21" s="6" t="s">
        <v>62</v>
      </c>
      <c r="B21" s="3" t="s">
        <v>331</v>
      </c>
      <c r="C21" s="3" t="s">
        <v>136</v>
      </c>
      <c r="D21" s="3"/>
      <c r="E21" s="3" t="s">
        <v>82</v>
      </c>
      <c r="F21" s="3" t="s">
        <v>83</v>
      </c>
      <c r="G21" s="22"/>
      <c r="H21" s="25"/>
      <c r="I21" s="26"/>
      <c r="J21" s="96" t="s">
        <v>332</v>
      </c>
      <c r="K21" s="97"/>
      <c r="L21" s="97"/>
      <c r="M21" s="97"/>
      <c r="N21" s="99"/>
    </row>
    <row r="22" spans="1:14">
      <c r="A22" s="6" t="s">
        <v>62</v>
      </c>
      <c r="B22" s="3" t="s">
        <v>333</v>
      </c>
      <c r="C22" s="3" t="s">
        <v>136</v>
      </c>
      <c r="D22" s="3"/>
      <c r="E22" s="3" t="s">
        <v>82</v>
      </c>
      <c r="F22" s="3" t="s">
        <v>83</v>
      </c>
      <c r="G22" s="22"/>
      <c r="H22" s="25"/>
      <c r="I22" s="26"/>
      <c r="J22" s="96" t="s">
        <v>334</v>
      </c>
      <c r="K22" s="97"/>
      <c r="L22" s="97"/>
      <c r="M22" s="97"/>
      <c r="N22" s="99"/>
    </row>
    <row r="23" spans="1:14">
      <c r="A23" s="64" t="s">
        <v>97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62" t="s">
        <v>4</v>
      </c>
      <c r="B24" s="54" t="s">
        <v>73</v>
      </c>
      <c r="C24" s="54" t="s">
        <v>98</v>
      </c>
      <c r="D24" s="54" t="s">
        <v>99</v>
      </c>
      <c r="E24" s="54" t="s">
        <v>100</v>
      </c>
      <c r="F24" s="108"/>
      <c r="G24" s="108"/>
      <c r="H24" s="108"/>
      <c r="I24" s="108"/>
      <c r="J24" s="108"/>
      <c r="K24" s="108"/>
      <c r="L24" s="109"/>
      <c r="M24" s="54" t="s">
        <v>101</v>
      </c>
      <c r="N24" s="112"/>
    </row>
    <row r="25" spans="1:14">
      <c r="A25" s="113"/>
      <c r="B25" s="114"/>
      <c r="C25" s="114"/>
      <c r="D25" s="114"/>
      <c r="E25" s="11" t="s">
        <v>73</v>
      </c>
      <c r="F25" s="11" t="s">
        <v>74</v>
      </c>
      <c r="G25" s="11" t="s">
        <v>79</v>
      </c>
      <c r="H25" s="11" t="s">
        <v>102</v>
      </c>
      <c r="I25" s="11" t="s">
        <v>75</v>
      </c>
      <c r="J25" s="54" t="s">
        <v>99</v>
      </c>
      <c r="K25" s="108"/>
      <c r="L25" s="109"/>
      <c r="M25" s="115"/>
      <c r="N25" s="117"/>
    </row>
    <row r="26" spans="1:14">
      <c r="A26" s="6" t="s">
        <v>10</v>
      </c>
      <c r="B26" s="3"/>
      <c r="C26" s="3"/>
      <c r="D26" s="3" t="s">
        <v>103</v>
      </c>
      <c r="E26" s="3"/>
      <c r="F26" s="3"/>
      <c r="G26" s="3"/>
      <c r="H26" s="3"/>
      <c r="I26" s="3"/>
      <c r="J26" s="53"/>
      <c r="K26" s="108"/>
      <c r="L26" s="109"/>
      <c r="M26" s="63"/>
      <c r="N26" s="110"/>
    </row>
    <row r="27" spans="1:14">
      <c r="A27" s="61" t="s">
        <v>104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/>
    </row>
    <row r="28" spans="1:14">
      <c r="A28" s="65" t="s">
        <v>4</v>
      </c>
      <c r="B28" s="66" t="s">
        <v>73</v>
      </c>
      <c r="C28" s="66" t="s">
        <v>106</v>
      </c>
      <c r="D28" s="66" t="s">
        <v>107</v>
      </c>
      <c r="E28" s="66" t="s">
        <v>99</v>
      </c>
      <c r="F28" s="66" t="s">
        <v>100</v>
      </c>
      <c r="G28" s="108"/>
      <c r="H28" s="108"/>
      <c r="I28" s="108"/>
      <c r="J28" s="108"/>
      <c r="K28" s="109"/>
      <c r="L28" s="66" t="s">
        <v>108</v>
      </c>
      <c r="M28" s="109"/>
      <c r="N28" s="60" t="s">
        <v>101</v>
      </c>
    </row>
    <row r="29" spans="1:14">
      <c r="A29" s="113"/>
      <c r="B29" s="114"/>
      <c r="C29" s="114"/>
      <c r="D29" s="114"/>
      <c r="E29" s="114"/>
      <c r="F29" s="12" t="s">
        <v>73</v>
      </c>
      <c r="G29" s="12" t="s">
        <v>74</v>
      </c>
      <c r="H29" s="12" t="s">
        <v>79</v>
      </c>
      <c r="I29" s="12" t="s">
        <v>102</v>
      </c>
      <c r="J29" s="12" t="s">
        <v>75</v>
      </c>
      <c r="K29" s="12" t="s">
        <v>99</v>
      </c>
      <c r="L29" s="12" t="s">
        <v>74</v>
      </c>
      <c r="M29" s="12" t="s">
        <v>79</v>
      </c>
      <c r="N29" s="118"/>
    </row>
    <row r="30" spans="1:14">
      <c r="A30" s="6" t="s">
        <v>10</v>
      </c>
      <c r="B30" s="3"/>
      <c r="C30" s="3"/>
      <c r="D30" s="3"/>
      <c r="E30" s="3" t="s">
        <v>109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76" t="s">
        <v>110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9"/>
    </row>
    <row r="32" spans="1:14">
      <c r="A32" s="77" t="s">
        <v>4</v>
      </c>
      <c r="B32" s="70" t="s">
        <v>73</v>
      </c>
      <c r="C32" s="70" t="s">
        <v>111</v>
      </c>
      <c r="D32" s="70" t="s">
        <v>107</v>
      </c>
      <c r="E32" s="70" t="s">
        <v>99</v>
      </c>
      <c r="F32" s="70" t="s">
        <v>100</v>
      </c>
      <c r="G32" s="108"/>
      <c r="H32" s="108"/>
      <c r="I32" s="108"/>
      <c r="J32" s="108"/>
      <c r="K32" s="109"/>
      <c r="L32" s="70" t="s">
        <v>108</v>
      </c>
      <c r="M32" s="109"/>
      <c r="N32" s="75" t="s">
        <v>101</v>
      </c>
    </row>
    <row r="33" spans="1:14">
      <c r="A33" s="113"/>
      <c r="B33" s="114"/>
      <c r="C33" s="114"/>
      <c r="D33" s="114"/>
      <c r="E33" s="114"/>
      <c r="F33" s="13" t="s">
        <v>73</v>
      </c>
      <c r="G33" s="13" t="s">
        <v>74</v>
      </c>
      <c r="H33" s="13" t="s">
        <v>79</v>
      </c>
      <c r="I33" s="13" t="s">
        <v>102</v>
      </c>
      <c r="J33" s="13" t="s">
        <v>75</v>
      </c>
      <c r="K33" s="13" t="s">
        <v>99</v>
      </c>
      <c r="L33" s="13" t="s">
        <v>74</v>
      </c>
      <c r="M33" s="13" t="s">
        <v>79</v>
      </c>
      <c r="N33" s="118"/>
    </row>
    <row r="34" spans="1:14">
      <c r="A34" s="6" t="s">
        <v>62</v>
      </c>
      <c r="B34" s="3" t="s">
        <v>112</v>
      </c>
      <c r="C34" s="3" t="s">
        <v>83</v>
      </c>
      <c r="D34" s="3" t="s">
        <v>113</v>
      </c>
      <c r="E34" s="3" t="s">
        <v>335</v>
      </c>
      <c r="F34" s="3"/>
      <c r="G34" s="3"/>
      <c r="H34" s="3"/>
      <c r="I34" s="3"/>
      <c r="J34" s="3"/>
      <c r="K34" s="3"/>
      <c r="L34" s="3" t="s">
        <v>115</v>
      </c>
      <c r="M34" s="3"/>
      <c r="N34" s="7"/>
    </row>
    <row r="35" spans="1:14">
      <c r="A35" s="6" t="s">
        <v>62</v>
      </c>
      <c r="B35" s="38" t="s">
        <v>116</v>
      </c>
      <c r="C35" s="38" t="s">
        <v>83</v>
      </c>
      <c r="D35" s="38" t="s">
        <v>113</v>
      </c>
      <c r="E35" s="38" t="s">
        <v>336</v>
      </c>
      <c r="F35" s="38"/>
      <c r="G35" s="38"/>
      <c r="H35" s="38"/>
      <c r="I35" s="38"/>
      <c r="J35" s="38"/>
      <c r="K35" s="38"/>
      <c r="L35" s="38" t="s">
        <v>118</v>
      </c>
      <c r="M35" s="38" t="s">
        <v>119</v>
      </c>
      <c r="N35" s="39"/>
    </row>
    <row r="36" spans="1:14" ht="15.75" customHeight="1" thickBot="1">
      <c r="A36" s="6" t="s">
        <v>62</v>
      </c>
      <c r="B36" s="15" t="s">
        <v>337</v>
      </c>
      <c r="C36" s="15" t="s">
        <v>83</v>
      </c>
      <c r="D36" s="15" t="s">
        <v>113</v>
      </c>
      <c r="E36" s="15" t="s">
        <v>338</v>
      </c>
      <c r="F36" s="15"/>
      <c r="G36" s="15"/>
      <c r="H36" s="15"/>
      <c r="I36" s="15"/>
      <c r="J36" s="15"/>
      <c r="K36" s="15"/>
      <c r="L36" s="15" t="s">
        <v>118</v>
      </c>
      <c r="M36" s="15" t="s">
        <v>339</v>
      </c>
      <c r="N36" s="8" t="s">
        <v>340</v>
      </c>
    </row>
  </sheetData>
  <mergeCells count="58">
    <mergeCell ref="B2:E2"/>
    <mergeCell ref="N28:N29"/>
    <mergeCell ref="A27:N27"/>
    <mergeCell ref="A24:A25"/>
    <mergeCell ref="D32:D33"/>
    <mergeCell ref="F32:K32"/>
    <mergeCell ref="C24:C25"/>
    <mergeCell ref="D24:D25"/>
    <mergeCell ref="E11:E12"/>
    <mergeCell ref="C28:C29"/>
    <mergeCell ref="A31:N31"/>
    <mergeCell ref="F11:F12"/>
    <mergeCell ref="J17:N17"/>
    <mergeCell ref="J18:N18"/>
    <mergeCell ref="J19:N19"/>
    <mergeCell ref="J21:N21"/>
    <mergeCell ref="A1:E1"/>
    <mergeCell ref="A10:N10"/>
    <mergeCell ref="B5:E5"/>
    <mergeCell ref="J25:L25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24:L24"/>
    <mergeCell ref="B6:E6"/>
    <mergeCell ref="C32:C33"/>
    <mergeCell ref="J13:N13"/>
    <mergeCell ref="E32:E33"/>
    <mergeCell ref="B32:B33"/>
    <mergeCell ref="L28:M28"/>
    <mergeCell ref="N32:N33"/>
    <mergeCell ref="B28:B29"/>
    <mergeCell ref="J26:L26"/>
    <mergeCell ref="D28:D29"/>
    <mergeCell ref="B24:B25"/>
    <mergeCell ref="A23:N23"/>
    <mergeCell ref="M26:N26"/>
    <mergeCell ref="L32:M32"/>
    <mergeCell ref="M24:N25"/>
    <mergeCell ref="J15:N15"/>
    <mergeCell ref="A32:A33"/>
    <mergeCell ref="C11:D11"/>
    <mergeCell ref="F28:K28"/>
    <mergeCell ref="A28:A29"/>
    <mergeCell ref="B11:B12"/>
    <mergeCell ref="B8:D8"/>
    <mergeCell ref="G15:I15"/>
    <mergeCell ref="E28:E29"/>
    <mergeCell ref="J16:N16"/>
    <mergeCell ref="J22:N22"/>
    <mergeCell ref="J20:N20"/>
  </mergeCells>
  <hyperlinks>
    <hyperlink ref="A1" location="'Clases'!A1" display="&lt;-Volver al inicio" xr:uid="{00000000-0004-0000-14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7"/>
  <sheetViews>
    <sheetView workbookViewId="0">
      <selection activeCell="C32" sqref="C3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6.7109375" style="1" customWidth="1"/>
    <col min="5" max="5" width="63" style="1" bestFit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Clases!A17</f>
        <v>PilotRoleBreakdown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Clases!C17</f>
        <v>Estructura que representa el desglose de tiempo de vuelo según el rol del piloto, indicando cuántos segundos y vuelos se realizaron en cada posición.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341</v>
      </c>
      <c r="B9" s="67" t="s">
        <v>71</v>
      </c>
      <c r="C9" s="68"/>
      <c r="D9" s="69"/>
      <c r="E9" s="42" t="str">
        <f>HYPERLINK("#'"&amp;F9&amp;"'!A1", F9)</f>
        <v>FlightHoursSummary</v>
      </c>
      <c r="F9" s="44" t="s">
        <v>37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50</v>
      </c>
      <c r="C13" s="3" t="s">
        <v>81</v>
      </c>
      <c r="D13" s="3"/>
      <c r="E13" s="3" t="s">
        <v>113</v>
      </c>
      <c r="F13" s="3" t="s">
        <v>83</v>
      </c>
      <c r="G13" s="53"/>
      <c r="H13" s="108"/>
      <c r="I13" s="109"/>
      <c r="J13" s="53" t="s">
        <v>342</v>
      </c>
      <c r="K13" s="108"/>
      <c r="L13" s="108"/>
      <c r="M13" s="108"/>
      <c r="N13" s="109"/>
    </row>
    <row r="14" spans="1:14">
      <c r="A14" s="6" t="s">
        <v>62</v>
      </c>
      <c r="B14" s="3" t="s">
        <v>343</v>
      </c>
      <c r="C14" s="3" t="s">
        <v>227</v>
      </c>
      <c r="D14" s="3"/>
      <c r="E14" s="3" t="s">
        <v>113</v>
      </c>
      <c r="F14" s="3" t="s">
        <v>83</v>
      </c>
      <c r="G14" s="53"/>
      <c r="H14" s="108"/>
      <c r="I14" s="109"/>
      <c r="J14" s="53" t="s">
        <v>344</v>
      </c>
      <c r="K14" s="108"/>
      <c r="L14" s="108"/>
      <c r="M14" s="108"/>
      <c r="N14" s="109"/>
    </row>
    <row r="15" spans="1:14">
      <c r="A15" s="6" t="s">
        <v>62</v>
      </c>
      <c r="B15" s="3" t="s">
        <v>345</v>
      </c>
      <c r="C15" s="3" t="s">
        <v>227</v>
      </c>
      <c r="D15" s="3"/>
      <c r="E15" s="3" t="s">
        <v>113</v>
      </c>
      <c r="F15" s="3" t="s">
        <v>83</v>
      </c>
      <c r="G15" s="53"/>
      <c r="H15" s="108"/>
      <c r="I15" s="109"/>
      <c r="J15" s="53" t="s">
        <v>346</v>
      </c>
      <c r="K15" s="108"/>
      <c r="L15" s="108"/>
      <c r="M15" s="108"/>
      <c r="N15" s="109"/>
    </row>
    <row r="16" spans="1:14">
      <c r="A16" s="64" t="s">
        <v>97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9"/>
    </row>
    <row r="17" spans="1:14">
      <c r="A17" s="62" t="s">
        <v>4</v>
      </c>
      <c r="B17" s="54" t="s">
        <v>73</v>
      </c>
      <c r="C17" s="54" t="s">
        <v>98</v>
      </c>
      <c r="D17" s="54" t="s">
        <v>99</v>
      </c>
      <c r="E17" s="54" t="s">
        <v>100</v>
      </c>
      <c r="F17" s="108"/>
      <c r="G17" s="108"/>
      <c r="H17" s="108"/>
      <c r="I17" s="108"/>
      <c r="J17" s="108"/>
      <c r="K17" s="108"/>
      <c r="L17" s="109"/>
      <c r="M17" s="54" t="s">
        <v>101</v>
      </c>
      <c r="N17" s="112"/>
    </row>
    <row r="18" spans="1:14">
      <c r="A18" s="113"/>
      <c r="B18" s="114"/>
      <c r="C18" s="114"/>
      <c r="D18" s="114"/>
      <c r="E18" s="11" t="s">
        <v>73</v>
      </c>
      <c r="F18" s="11" t="s">
        <v>74</v>
      </c>
      <c r="G18" s="11" t="s">
        <v>79</v>
      </c>
      <c r="H18" s="11" t="s">
        <v>102</v>
      </c>
      <c r="I18" s="11" t="s">
        <v>75</v>
      </c>
      <c r="J18" s="54" t="s">
        <v>99</v>
      </c>
      <c r="K18" s="108"/>
      <c r="L18" s="109"/>
      <c r="M18" s="115"/>
      <c r="N18" s="117"/>
    </row>
    <row r="19" spans="1:14">
      <c r="A19" s="6" t="s">
        <v>10</v>
      </c>
      <c r="B19" s="3"/>
      <c r="C19" s="3"/>
      <c r="D19" s="3" t="s">
        <v>103</v>
      </c>
      <c r="E19" s="3"/>
      <c r="F19" s="3"/>
      <c r="G19" s="3"/>
      <c r="H19" s="3"/>
      <c r="I19" s="3"/>
      <c r="J19" s="53"/>
      <c r="K19" s="108"/>
      <c r="L19" s="109"/>
      <c r="M19" s="63"/>
      <c r="N19" s="110"/>
    </row>
    <row r="20" spans="1:14">
      <c r="A20" s="61" t="s">
        <v>104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/>
    </row>
    <row r="21" spans="1:14">
      <c r="A21" s="65" t="s">
        <v>4</v>
      </c>
      <c r="B21" s="66" t="s">
        <v>73</v>
      </c>
      <c r="C21" s="66" t="s">
        <v>106</v>
      </c>
      <c r="D21" s="66" t="s">
        <v>107</v>
      </c>
      <c r="E21" s="66" t="s">
        <v>99</v>
      </c>
      <c r="F21" s="66" t="s">
        <v>100</v>
      </c>
      <c r="G21" s="108"/>
      <c r="H21" s="108"/>
      <c r="I21" s="108"/>
      <c r="J21" s="108"/>
      <c r="K21" s="109"/>
      <c r="L21" s="66" t="s">
        <v>108</v>
      </c>
      <c r="M21" s="109"/>
      <c r="N21" s="60" t="s">
        <v>101</v>
      </c>
    </row>
    <row r="22" spans="1:14">
      <c r="A22" s="113"/>
      <c r="B22" s="114"/>
      <c r="C22" s="114"/>
      <c r="D22" s="114"/>
      <c r="E22" s="114"/>
      <c r="F22" s="12" t="s">
        <v>73</v>
      </c>
      <c r="G22" s="12" t="s">
        <v>74</v>
      </c>
      <c r="H22" s="12" t="s">
        <v>79</v>
      </c>
      <c r="I22" s="12" t="s">
        <v>102</v>
      </c>
      <c r="J22" s="12" t="s">
        <v>75</v>
      </c>
      <c r="K22" s="12" t="s">
        <v>99</v>
      </c>
      <c r="L22" s="12" t="s">
        <v>74</v>
      </c>
      <c r="M22" s="12" t="s">
        <v>79</v>
      </c>
      <c r="N22" s="118"/>
    </row>
    <row r="23" spans="1:14">
      <c r="A23" s="6" t="s">
        <v>10</v>
      </c>
      <c r="B23" s="3"/>
      <c r="C23" s="3"/>
      <c r="D23" s="3"/>
      <c r="E23" s="3" t="s">
        <v>109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76" t="s">
        <v>110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/>
    </row>
    <row r="25" spans="1:14">
      <c r="A25" s="77" t="s">
        <v>4</v>
      </c>
      <c r="B25" s="70" t="s">
        <v>73</v>
      </c>
      <c r="C25" s="70" t="s">
        <v>111</v>
      </c>
      <c r="D25" s="70" t="s">
        <v>107</v>
      </c>
      <c r="E25" s="70" t="s">
        <v>99</v>
      </c>
      <c r="F25" s="70" t="s">
        <v>100</v>
      </c>
      <c r="G25" s="108"/>
      <c r="H25" s="108"/>
      <c r="I25" s="108"/>
      <c r="J25" s="108"/>
      <c r="K25" s="109"/>
      <c r="L25" s="70" t="s">
        <v>108</v>
      </c>
      <c r="M25" s="109"/>
      <c r="N25" s="75" t="s">
        <v>101</v>
      </c>
    </row>
    <row r="26" spans="1:14">
      <c r="A26" s="113"/>
      <c r="B26" s="114"/>
      <c r="C26" s="114"/>
      <c r="D26" s="114"/>
      <c r="E26" s="114"/>
      <c r="F26" s="13" t="s">
        <v>73</v>
      </c>
      <c r="G26" s="13" t="s">
        <v>74</v>
      </c>
      <c r="H26" s="13" t="s">
        <v>79</v>
      </c>
      <c r="I26" s="13" t="s">
        <v>102</v>
      </c>
      <c r="J26" s="13" t="s">
        <v>75</v>
      </c>
      <c r="K26" s="13" t="s">
        <v>99</v>
      </c>
      <c r="L26" s="13" t="s">
        <v>74</v>
      </c>
      <c r="M26" s="13" t="s">
        <v>79</v>
      </c>
      <c r="N26" s="118"/>
    </row>
    <row r="27" spans="1:14">
      <c r="A27" s="6" t="s">
        <v>10</v>
      </c>
      <c r="B27" s="3"/>
      <c r="C27" s="3"/>
      <c r="D27" s="3"/>
      <c r="E27" s="3" t="s">
        <v>347</v>
      </c>
      <c r="F27" s="3"/>
      <c r="G27" s="3"/>
      <c r="H27" s="3"/>
      <c r="I27" s="3"/>
      <c r="J27" s="3"/>
      <c r="K27" s="3"/>
      <c r="L27" s="3"/>
      <c r="M27" s="3"/>
      <c r="N27" s="7"/>
    </row>
  </sheetData>
  <mergeCells count="51">
    <mergeCell ref="D25:D26"/>
    <mergeCell ref="F25:K25"/>
    <mergeCell ref="C17:C18"/>
    <mergeCell ref="D17:D18"/>
    <mergeCell ref="E11:E12"/>
    <mergeCell ref="C21:C22"/>
    <mergeCell ref="A24:N24"/>
    <mergeCell ref="F11:F12"/>
    <mergeCell ref="C25:C26"/>
    <mergeCell ref="J13:N13"/>
    <mergeCell ref="E25:E26"/>
    <mergeCell ref="B25:B26"/>
    <mergeCell ref="B3:E3"/>
    <mergeCell ref="E17:L17"/>
    <mergeCell ref="B6:E6"/>
    <mergeCell ref="B2:E2"/>
    <mergeCell ref="N21:N22"/>
    <mergeCell ref="A20:N20"/>
    <mergeCell ref="A17:A18"/>
    <mergeCell ref="B21:B22"/>
    <mergeCell ref="J19:L19"/>
    <mergeCell ref="D21:D22"/>
    <mergeCell ref="A1:E1"/>
    <mergeCell ref="A10:N10"/>
    <mergeCell ref="B5:E5"/>
    <mergeCell ref="J18:L18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8:D8"/>
    <mergeCell ref="G15:I15"/>
    <mergeCell ref="E21:E22"/>
    <mergeCell ref="J15:N15"/>
    <mergeCell ref="A25:A26"/>
    <mergeCell ref="C11:D11"/>
    <mergeCell ref="F21:K21"/>
    <mergeCell ref="A21:A22"/>
    <mergeCell ref="B11:B12"/>
    <mergeCell ref="B17:B18"/>
    <mergeCell ref="A16:N16"/>
    <mergeCell ref="M19:N19"/>
    <mergeCell ref="L25:M25"/>
    <mergeCell ref="M17:N18"/>
    <mergeCell ref="L21:M21"/>
    <mergeCell ref="N25:N26"/>
  </mergeCells>
  <hyperlinks>
    <hyperlink ref="A1" location="'Clases'!A1" display="&lt;-Volver al inicio" xr:uid="{00000000-0004-0000-11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9"/>
  <sheetViews>
    <sheetView topLeftCell="A3" workbookViewId="0">
      <selection activeCell="F9" sqref="F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7" style="1" customWidth="1"/>
    <col min="5" max="5" width="63" style="1" bestFit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Clases!A18</f>
        <v>FlightAlert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Clases!C18</f>
        <v>Estructura que representa una alerta del sistema cuando las horas de vuelo se acercan o superan los límites establecidos.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341</v>
      </c>
      <c r="B9" s="53" t="s">
        <v>277</v>
      </c>
      <c r="C9" s="108"/>
      <c r="D9" s="109"/>
      <c r="E9" s="42" t="str">
        <f>HYPERLINK("#'"&amp;F9&amp;"'!A1", F9)</f>
        <v>FlightHoursSummary</v>
      </c>
      <c r="F9" s="44" t="s">
        <v>37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320</v>
      </c>
      <c r="C13" s="3" t="s">
        <v>81</v>
      </c>
      <c r="D13" s="3"/>
      <c r="E13" s="3" t="s">
        <v>113</v>
      </c>
      <c r="F13" s="3" t="s">
        <v>129</v>
      </c>
      <c r="G13" s="53"/>
      <c r="H13" s="108"/>
      <c r="I13" s="109"/>
      <c r="J13" s="53" t="s">
        <v>348</v>
      </c>
      <c r="K13" s="108"/>
      <c r="L13" s="108"/>
      <c r="M13" s="108"/>
      <c r="N13" s="109"/>
    </row>
    <row r="14" spans="1:14">
      <c r="A14" s="6" t="s">
        <v>62</v>
      </c>
      <c r="B14" s="3" t="s">
        <v>349</v>
      </c>
      <c r="C14" s="3" t="s">
        <v>81</v>
      </c>
      <c r="D14" s="3"/>
      <c r="E14" s="3" t="s">
        <v>113</v>
      </c>
      <c r="F14" s="3" t="s">
        <v>129</v>
      </c>
      <c r="G14" s="53"/>
      <c r="H14" s="108"/>
      <c r="I14" s="109"/>
      <c r="J14" s="53" t="s">
        <v>350</v>
      </c>
      <c r="K14" s="108"/>
      <c r="L14" s="108"/>
      <c r="M14" s="108"/>
      <c r="N14" s="109"/>
    </row>
    <row r="15" spans="1:14">
      <c r="A15" s="6" t="s">
        <v>62</v>
      </c>
      <c r="B15" s="3" t="s">
        <v>45</v>
      </c>
      <c r="C15" s="3" t="s">
        <v>81</v>
      </c>
      <c r="D15" s="3"/>
      <c r="E15" s="3" t="s">
        <v>113</v>
      </c>
      <c r="F15" s="3" t="s">
        <v>129</v>
      </c>
      <c r="G15" s="53"/>
      <c r="H15" s="108"/>
      <c r="I15" s="109"/>
      <c r="J15" s="53" t="s">
        <v>351</v>
      </c>
      <c r="K15" s="108"/>
      <c r="L15" s="108"/>
      <c r="M15" s="108"/>
      <c r="N15" s="109"/>
    </row>
    <row r="16" spans="1:14">
      <c r="A16" s="6" t="s">
        <v>62</v>
      </c>
      <c r="B16" s="3" t="s">
        <v>352</v>
      </c>
      <c r="C16" s="3" t="s">
        <v>227</v>
      </c>
      <c r="D16" s="3"/>
      <c r="E16" s="3" t="s">
        <v>113</v>
      </c>
      <c r="F16" s="3" t="s">
        <v>129</v>
      </c>
      <c r="G16" s="22"/>
      <c r="H16" s="25"/>
      <c r="I16" s="26"/>
      <c r="J16" s="67" t="s">
        <v>353</v>
      </c>
      <c r="K16" s="68"/>
      <c r="L16" s="68"/>
      <c r="M16" s="68"/>
      <c r="N16" s="69"/>
    </row>
    <row r="17" spans="1:14">
      <c r="A17" s="6" t="s">
        <v>62</v>
      </c>
      <c r="B17" s="3" t="s">
        <v>354</v>
      </c>
      <c r="C17" s="3" t="s">
        <v>227</v>
      </c>
      <c r="D17" s="3"/>
      <c r="E17" s="3" t="s">
        <v>113</v>
      </c>
      <c r="F17" s="3" t="s">
        <v>129</v>
      </c>
      <c r="G17" s="53"/>
      <c r="H17" s="108"/>
      <c r="I17" s="109"/>
      <c r="J17" s="53" t="s">
        <v>355</v>
      </c>
      <c r="K17" s="108"/>
      <c r="L17" s="108"/>
      <c r="M17" s="108"/>
      <c r="N17" s="109"/>
    </row>
    <row r="18" spans="1:14">
      <c r="A18" s="64" t="s">
        <v>97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/>
    </row>
    <row r="19" spans="1:14">
      <c r="A19" s="62" t="s">
        <v>4</v>
      </c>
      <c r="B19" s="54" t="s">
        <v>73</v>
      </c>
      <c r="C19" s="54" t="s">
        <v>98</v>
      </c>
      <c r="D19" s="54" t="s">
        <v>99</v>
      </c>
      <c r="E19" s="54" t="s">
        <v>100</v>
      </c>
      <c r="F19" s="108"/>
      <c r="G19" s="108"/>
      <c r="H19" s="108"/>
      <c r="I19" s="108"/>
      <c r="J19" s="108"/>
      <c r="K19" s="108"/>
      <c r="L19" s="109"/>
      <c r="M19" s="54" t="s">
        <v>101</v>
      </c>
      <c r="N19" s="112"/>
    </row>
    <row r="20" spans="1:14">
      <c r="A20" s="113"/>
      <c r="B20" s="114"/>
      <c r="C20" s="114"/>
      <c r="D20" s="114"/>
      <c r="E20" s="11" t="s">
        <v>73</v>
      </c>
      <c r="F20" s="11" t="s">
        <v>74</v>
      </c>
      <c r="G20" s="11" t="s">
        <v>79</v>
      </c>
      <c r="H20" s="11" t="s">
        <v>102</v>
      </c>
      <c r="I20" s="11" t="s">
        <v>75</v>
      </c>
      <c r="J20" s="54" t="s">
        <v>99</v>
      </c>
      <c r="K20" s="108"/>
      <c r="L20" s="109"/>
      <c r="M20" s="115"/>
      <c r="N20" s="117"/>
    </row>
    <row r="21" spans="1:14">
      <c r="A21" s="6" t="s">
        <v>10</v>
      </c>
      <c r="B21" s="3"/>
      <c r="C21" s="3"/>
      <c r="D21" s="3" t="s">
        <v>103</v>
      </c>
      <c r="E21" s="3"/>
      <c r="F21" s="3"/>
      <c r="G21" s="3"/>
      <c r="H21" s="3"/>
      <c r="I21" s="3"/>
      <c r="J21" s="53"/>
      <c r="K21" s="108"/>
      <c r="L21" s="109"/>
      <c r="M21" s="63"/>
      <c r="N21" s="110"/>
    </row>
    <row r="22" spans="1:14">
      <c r="A22" s="61" t="s">
        <v>104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9"/>
    </row>
    <row r="23" spans="1:14">
      <c r="A23" s="65" t="s">
        <v>4</v>
      </c>
      <c r="B23" s="66" t="s">
        <v>73</v>
      </c>
      <c r="C23" s="66" t="s">
        <v>106</v>
      </c>
      <c r="D23" s="66" t="s">
        <v>107</v>
      </c>
      <c r="E23" s="66" t="s">
        <v>99</v>
      </c>
      <c r="F23" s="66" t="s">
        <v>100</v>
      </c>
      <c r="G23" s="108"/>
      <c r="H23" s="108"/>
      <c r="I23" s="108"/>
      <c r="J23" s="108"/>
      <c r="K23" s="109"/>
      <c r="L23" s="66" t="s">
        <v>108</v>
      </c>
      <c r="M23" s="109"/>
      <c r="N23" s="60" t="s">
        <v>101</v>
      </c>
    </row>
    <row r="24" spans="1:14">
      <c r="A24" s="113"/>
      <c r="B24" s="114"/>
      <c r="C24" s="114"/>
      <c r="D24" s="114"/>
      <c r="E24" s="114"/>
      <c r="F24" s="12" t="s">
        <v>73</v>
      </c>
      <c r="G24" s="12" t="s">
        <v>74</v>
      </c>
      <c r="H24" s="12" t="s">
        <v>79</v>
      </c>
      <c r="I24" s="12" t="s">
        <v>102</v>
      </c>
      <c r="J24" s="12" t="s">
        <v>75</v>
      </c>
      <c r="K24" s="12" t="s">
        <v>99</v>
      </c>
      <c r="L24" s="12" t="s">
        <v>74</v>
      </c>
      <c r="M24" s="12" t="s">
        <v>79</v>
      </c>
      <c r="N24" s="118"/>
    </row>
    <row r="25" spans="1:14">
      <c r="A25" s="6" t="s">
        <v>10</v>
      </c>
      <c r="B25" s="3"/>
      <c r="C25" s="3"/>
      <c r="D25" s="3"/>
      <c r="E25" s="3" t="s">
        <v>109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76" t="s">
        <v>110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9"/>
    </row>
    <row r="27" spans="1:14">
      <c r="A27" s="77" t="s">
        <v>4</v>
      </c>
      <c r="B27" s="70" t="s">
        <v>73</v>
      </c>
      <c r="C27" s="70" t="s">
        <v>111</v>
      </c>
      <c r="D27" s="70" t="s">
        <v>107</v>
      </c>
      <c r="E27" s="70" t="s">
        <v>99</v>
      </c>
      <c r="F27" s="70" t="s">
        <v>100</v>
      </c>
      <c r="G27" s="108"/>
      <c r="H27" s="108"/>
      <c r="I27" s="108"/>
      <c r="J27" s="108"/>
      <c r="K27" s="109"/>
      <c r="L27" s="70" t="s">
        <v>108</v>
      </c>
      <c r="M27" s="109"/>
      <c r="N27" s="75" t="s">
        <v>101</v>
      </c>
    </row>
    <row r="28" spans="1:14">
      <c r="A28" s="113"/>
      <c r="B28" s="114"/>
      <c r="C28" s="114"/>
      <c r="D28" s="114"/>
      <c r="E28" s="114"/>
      <c r="F28" s="13" t="s">
        <v>73</v>
      </c>
      <c r="G28" s="13" t="s">
        <v>74</v>
      </c>
      <c r="H28" s="13" t="s">
        <v>79</v>
      </c>
      <c r="I28" s="13" t="s">
        <v>102</v>
      </c>
      <c r="J28" s="13" t="s">
        <v>75</v>
      </c>
      <c r="K28" s="13" t="s">
        <v>99</v>
      </c>
      <c r="L28" s="13" t="s">
        <v>74</v>
      </c>
      <c r="M28" s="13" t="s">
        <v>79</v>
      </c>
      <c r="N28" s="118"/>
    </row>
    <row r="29" spans="1:14">
      <c r="A29" s="6" t="s">
        <v>10</v>
      </c>
      <c r="B29" s="3"/>
      <c r="C29" s="3"/>
      <c r="D29" s="3"/>
      <c r="E29" s="3" t="s">
        <v>347</v>
      </c>
      <c r="F29" s="3"/>
      <c r="G29" s="3"/>
      <c r="H29" s="3"/>
      <c r="I29" s="3"/>
      <c r="J29" s="3"/>
      <c r="K29" s="3"/>
      <c r="L29" s="3"/>
      <c r="M29" s="3"/>
      <c r="N29" s="7"/>
    </row>
  </sheetData>
  <mergeCells count="54">
    <mergeCell ref="A27:A28"/>
    <mergeCell ref="B2:E2"/>
    <mergeCell ref="N23:N24"/>
    <mergeCell ref="A22:N22"/>
    <mergeCell ref="A19:A20"/>
    <mergeCell ref="D27:D28"/>
    <mergeCell ref="F27:K27"/>
    <mergeCell ref="C19:C20"/>
    <mergeCell ref="D19:D20"/>
    <mergeCell ref="E11:E12"/>
    <mergeCell ref="G17:I17"/>
    <mergeCell ref="C23:C24"/>
    <mergeCell ref="A26:N26"/>
    <mergeCell ref="C27:C28"/>
    <mergeCell ref="J13:N13"/>
    <mergeCell ref="E27:E28"/>
    <mergeCell ref="A1:E1"/>
    <mergeCell ref="A10:N10"/>
    <mergeCell ref="B5:E5"/>
    <mergeCell ref="J20:L20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19:L19"/>
    <mergeCell ref="B6:E6"/>
    <mergeCell ref="B27:B28"/>
    <mergeCell ref="L23:M23"/>
    <mergeCell ref="N27:N28"/>
    <mergeCell ref="B23:B24"/>
    <mergeCell ref="J21:L21"/>
    <mergeCell ref="D23:D24"/>
    <mergeCell ref="L27:M27"/>
    <mergeCell ref="B11:B12"/>
    <mergeCell ref="B8:D8"/>
    <mergeCell ref="G15:I15"/>
    <mergeCell ref="M21:N21"/>
    <mergeCell ref="E23:E24"/>
    <mergeCell ref="J16:N16"/>
    <mergeCell ref="F11:F12"/>
    <mergeCell ref="C11:D11"/>
    <mergeCell ref="J15:N15"/>
    <mergeCell ref="B19:B20"/>
    <mergeCell ref="A18:N18"/>
    <mergeCell ref="J17:N17"/>
    <mergeCell ref="F23:K23"/>
    <mergeCell ref="A23:A24"/>
    <mergeCell ref="M19:N20"/>
  </mergeCells>
  <hyperlinks>
    <hyperlink ref="A1" location="'Clases'!A1" display="&lt;-Volver al inicio" xr:uid="{00000000-0004-0000-12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9"/>
  <sheetViews>
    <sheetView workbookViewId="0">
      <selection activeCell="C35" sqref="C3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47" style="1" customWidth="1"/>
    <col min="5" max="5" width="63" style="1" bestFit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Clases!A19</f>
        <v>PeriodInfo</v>
      </c>
      <c r="C2" s="106"/>
      <c r="D2" s="106"/>
      <c r="E2" s="107"/>
    </row>
    <row r="3" spans="1:14">
      <c r="A3" s="17" t="str">
        <f>Clases!$B$1</f>
        <v>Estereotipo</v>
      </c>
      <c r="B3" s="53" t="s">
        <v>7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Clases!C19</f>
        <v>Estructura que representa la información de un período de resumen, con el tipo de período, año, número y rango de fechas.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356</v>
      </c>
      <c r="B9" s="53" t="s">
        <v>277</v>
      </c>
      <c r="C9" s="108"/>
      <c r="D9" s="109"/>
      <c r="E9" s="42" t="str">
        <f>HYPERLINK("#'"&amp;F9&amp;"'!A1", F9)</f>
        <v>EmployeeFlightSummary</v>
      </c>
      <c r="F9" s="44" t="s">
        <v>35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279</v>
      </c>
      <c r="C13" s="3" t="s">
        <v>81</v>
      </c>
      <c r="D13" s="3"/>
      <c r="E13" s="3" t="s">
        <v>113</v>
      </c>
      <c r="F13" s="3" t="s">
        <v>83</v>
      </c>
      <c r="G13" s="53"/>
      <c r="H13" s="108"/>
      <c r="I13" s="109"/>
      <c r="J13" s="98" t="s">
        <v>280</v>
      </c>
      <c r="K13" s="108"/>
      <c r="L13" s="108"/>
      <c r="M13" s="108"/>
      <c r="N13" s="109"/>
    </row>
    <row r="14" spans="1:14">
      <c r="A14" s="6" t="s">
        <v>62</v>
      </c>
      <c r="B14" s="3" t="s">
        <v>281</v>
      </c>
      <c r="C14" s="3" t="s">
        <v>227</v>
      </c>
      <c r="D14" s="3"/>
      <c r="E14" s="3" t="s">
        <v>113</v>
      </c>
      <c r="F14" s="3" t="s">
        <v>83</v>
      </c>
      <c r="G14" s="53"/>
      <c r="H14" s="108"/>
      <c r="I14" s="109"/>
      <c r="J14" s="98" t="s">
        <v>282</v>
      </c>
      <c r="K14" s="108"/>
      <c r="L14" s="108"/>
      <c r="M14" s="108"/>
      <c r="N14" s="109"/>
    </row>
    <row r="15" spans="1:14">
      <c r="A15" s="6" t="s">
        <v>62</v>
      </c>
      <c r="B15" s="3" t="s">
        <v>283</v>
      </c>
      <c r="C15" s="3" t="s">
        <v>227</v>
      </c>
      <c r="D15" s="3"/>
      <c r="E15" s="3" t="s">
        <v>113</v>
      </c>
      <c r="F15" s="3" t="s">
        <v>83</v>
      </c>
      <c r="G15" s="22"/>
      <c r="H15" s="25"/>
      <c r="I15" s="26"/>
      <c r="J15" s="96" t="s">
        <v>284</v>
      </c>
      <c r="K15" s="97"/>
      <c r="L15" s="97"/>
      <c r="M15" s="97"/>
      <c r="N15" s="99"/>
    </row>
    <row r="16" spans="1:14">
      <c r="A16" s="6" t="s">
        <v>62</v>
      </c>
      <c r="B16" s="3" t="s">
        <v>285</v>
      </c>
      <c r="C16" s="3" t="s">
        <v>81</v>
      </c>
      <c r="D16" s="3"/>
      <c r="E16" s="3" t="s">
        <v>113</v>
      </c>
      <c r="F16" s="3" t="s">
        <v>83</v>
      </c>
      <c r="G16" s="22"/>
      <c r="H16" s="25"/>
      <c r="I16" s="26"/>
      <c r="J16" s="96" t="s">
        <v>286</v>
      </c>
      <c r="K16" s="97"/>
      <c r="L16" s="97"/>
      <c r="M16" s="97"/>
      <c r="N16" s="99"/>
    </row>
    <row r="17" spans="1:14">
      <c r="A17" s="6" t="s">
        <v>62</v>
      </c>
      <c r="B17" s="3" t="s">
        <v>287</v>
      </c>
      <c r="C17" s="3" t="s">
        <v>81</v>
      </c>
      <c r="D17" s="3"/>
      <c r="E17" s="3" t="s">
        <v>113</v>
      </c>
      <c r="F17" s="3" t="s">
        <v>83</v>
      </c>
      <c r="G17" s="53"/>
      <c r="H17" s="108"/>
      <c r="I17" s="109"/>
      <c r="J17" s="98" t="s">
        <v>288</v>
      </c>
      <c r="K17" s="108"/>
      <c r="L17" s="108"/>
      <c r="M17" s="108"/>
      <c r="N17" s="109"/>
    </row>
    <row r="18" spans="1:14">
      <c r="A18" s="64" t="s">
        <v>97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/>
    </row>
    <row r="19" spans="1:14">
      <c r="A19" s="62" t="s">
        <v>4</v>
      </c>
      <c r="B19" s="54" t="s">
        <v>73</v>
      </c>
      <c r="C19" s="54" t="s">
        <v>98</v>
      </c>
      <c r="D19" s="54" t="s">
        <v>99</v>
      </c>
      <c r="E19" s="54" t="s">
        <v>100</v>
      </c>
      <c r="F19" s="108"/>
      <c r="G19" s="108"/>
      <c r="H19" s="108"/>
      <c r="I19" s="108"/>
      <c r="J19" s="108"/>
      <c r="K19" s="108"/>
      <c r="L19" s="109"/>
      <c r="M19" s="54" t="s">
        <v>101</v>
      </c>
      <c r="N19" s="112"/>
    </row>
    <row r="20" spans="1:14">
      <c r="A20" s="113"/>
      <c r="B20" s="114"/>
      <c r="C20" s="114"/>
      <c r="D20" s="114"/>
      <c r="E20" s="11" t="s">
        <v>73</v>
      </c>
      <c r="F20" s="11" t="s">
        <v>74</v>
      </c>
      <c r="G20" s="11" t="s">
        <v>79</v>
      </c>
      <c r="H20" s="11" t="s">
        <v>102</v>
      </c>
      <c r="I20" s="11" t="s">
        <v>75</v>
      </c>
      <c r="J20" s="54" t="s">
        <v>99</v>
      </c>
      <c r="K20" s="108"/>
      <c r="L20" s="109"/>
      <c r="M20" s="115"/>
      <c r="N20" s="117"/>
    </row>
    <row r="21" spans="1:14">
      <c r="A21" s="6" t="s">
        <v>10</v>
      </c>
      <c r="B21" s="3"/>
      <c r="C21" s="3"/>
      <c r="D21" s="3" t="s">
        <v>103</v>
      </c>
      <c r="E21" s="3"/>
      <c r="F21" s="3"/>
      <c r="G21" s="3"/>
      <c r="H21" s="3"/>
      <c r="I21" s="3"/>
      <c r="J21" s="53"/>
      <c r="K21" s="108"/>
      <c r="L21" s="109"/>
      <c r="M21" s="63"/>
      <c r="N21" s="110"/>
    </row>
    <row r="22" spans="1:14">
      <c r="A22" s="61" t="s">
        <v>104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9"/>
    </row>
    <row r="23" spans="1:14">
      <c r="A23" s="65" t="s">
        <v>4</v>
      </c>
      <c r="B23" s="66" t="s">
        <v>73</v>
      </c>
      <c r="C23" s="66" t="s">
        <v>106</v>
      </c>
      <c r="D23" s="66" t="s">
        <v>107</v>
      </c>
      <c r="E23" s="66" t="s">
        <v>99</v>
      </c>
      <c r="F23" s="66" t="s">
        <v>100</v>
      </c>
      <c r="G23" s="108"/>
      <c r="H23" s="108"/>
      <c r="I23" s="108"/>
      <c r="J23" s="108"/>
      <c r="K23" s="109"/>
      <c r="L23" s="66" t="s">
        <v>108</v>
      </c>
      <c r="M23" s="109"/>
      <c r="N23" s="60" t="s">
        <v>101</v>
      </c>
    </row>
    <row r="24" spans="1:14">
      <c r="A24" s="113"/>
      <c r="B24" s="114"/>
      <c r="C24" s="114"/>
      <c r="D24" s="114"/>
      <c r="E24" s="114"/>
      <c r="F24" s="12" t="s">
        <v>73</v>
      </c>
      <c r="G24" s="12" t="s">
        <v>74</v>
      </c>
      <c r="H24" s="12" t="s">
        <v>79</v>
      </c>
      <c r="I24" s="12" t="s">
        <v>102</v>
      </c>
      <c r="J24" s="12" t="s">
        <v>75</v>
      </c>
      <c r="K24" s="12" t="s">
        <v>99</v>
      </c>
      <c r="L24" s="12" t="s">
        <v>74</v>
      </c>
      <c r="M24" s="12" t="s">
        <v>79</v>
      </c>
      <c r="N24" s="118"/>
    </row>
    <row r="25" spans="1:14">
      <c r="A25" s="6" t="s">
        <v>10</v>
      </c>
      <c r="B25" s="3"/>
      <c r="C25" s="3"/>
      <c r="D25" s="3"/>
      <c r="E25" s="3" t="s">
        <v>109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76" t="s">
        <v>110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9"/>
    </row>
    <row r="27" spans="1:14">
      <c r="A27" s="77" t="s">
        <v>4</v>
      </c>
      <c r="B27" s="70" t="s">
        <v>73</v>
      </c>
      <c r="C27" s="70" t="s">
        <v>111</v>
      </c>
      <c r="D27" s="70" t="s">
        <v>107</v>
      </c>
      <c r="E27" s="70" t="s">
        <v>99</v>
      </c>
      <c r="F27" s="70" t="s">
        <v>100</v>
      </c>
      <c r="G27" s="108"/>
      <c r="H27" s="108"/>
      <c r="I27" s="108"/>
      <c r="J27" s="108"/>
      <c r="K27" s="109"/>
      <c r="L27" s="70" t="s">
        <v>108</v>
      </c>
      <c r="M27" s="109"/>
      <c r="N27" s="75" t="s">
        <v>101</v>
      </c>
    </row>
    <row r="28" spans="1:14">
      <c r="A28" s="113"/>
      <c r="B28" s="114"/>
      <c r="C28" s="114"/>
      <c r="D28" s="114"/>
      <c r="E28" s="114"/>
      <c r="F28" s="13" t="s">
        <v>73</v>
      </c>
      <c r="G28" s="13" t="s">
        <v>74</v>
      </c>
      <c r="H28" s="13" t="s">
        <v>79</v>
      </c>
      <c r="I28" s="13" t="s">
        <v>102</v>
      </c>
      <c r="J28" s="13" t="s">
        <v>75</v>
      </c>
      <c r="K28" s="13" t="s">
        <v>99</v>
      </c>
      <c r="L28" s="13" t="s">
        <v>74</v>
      </c>
      <c r="M28" s="13" t="s">
        <v>79</v>
      </c>
      <c r="N28" s="118"/>
    </row>
    <row r="29" spans="1:14">
      <c r="A29" s="6" t="s">
        <v>10</v>
      </c>
      <c r="B29" s="3"/>
      <c r="C29" s="3"/>
      <c r="D29" s="3"/>
      <c r="E29" s="3" t="s">
        <v>347</v>
      </c>
      <c r="F29" s="3"/>
      <c r="G29" s="3"/>
      <c r="H29" s="3"/>
      <c r="I29" s="3"/>
      <c r="J29" s="3"/>
      <c r="K29" s="3"/>
      <c r="L29" s="3"/>
      <c r="M29" s="3"/>
      <c r="N29" s="7"/>
    </row>
  </sheetData>
  <mergeCells count="53">
    <mergeCell ref="A27:A28"/>
    <mergeCell ref="B2:E2"/>
    <mergeCell ref="N23:N24"/>
    <mergeCell ref="A22:N22"/>
    <mergeCell ref="A19:A20"/>
    <mergeCell ref="D27:D28"/>
    <mergeCell ref="F27:K27"/>
    <mergeCell ref="C19:C20"/>
    <mergeCell ref="D19:D20"/>
    <mergeCell ref="E11:E12"/>
    <mergeCell ref="C23:C24"/>
    <mergeCell ref="A26:N26"/>
    <mergeCell ref="F11:F12"/>
    <mergeCell ref="A23:A24"/>
    <mergeCell ref="B11:B12"/>
    <mergeCell ref="C27:C28"/>
    <mergeCell ref="A1:E1"/>
    <mergeCell ref="A10:N10"/>
    <mergeCell ref="B5:E5"/>
    <mergeCell ref="J20:L20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19:L19"/>
    <mergeCell ref="B6:E6"/>
    <mergeCell ref="E27:E28"/>
    <mergeCell ref="B27:B28"/>
    <mergeCell ref="L23:M23"/>
    <mergeCell ref="N27:N28"/>
    <mergeCell ref="B23:B24"/>
    <mergeCell ref="D23:D24"/>
    <mergeCell ref="L27:M27"/>
    <mergeCell ref="B8:D8"/>
    <mergeCell ref="G17:I17"/>
    <mergeCell ref="M21:N21"/>
    <mergeCell ref="E23:E24"/>
    <mergeCell ref="J15:N15"/>
    <mergeCell ref="C11:D11"/>
    <mergeCell ref="J16:N16"/>
    <mergeCell ref="F23:K23"/>
    <mergeCell ref="J13:N13"/>
    <mergeCell ref="J21:L21"/>
    <mergeCell ref="B19:B20"/>
    <mergeCell ref="A18:N18"/>
    <mergeCell ref="M19:N20"/>
    <mergeCell ref="J17:N17"/>
  </mergeCells>
  <hyperlinks>
    <hyperlink ref="A1" location="'Clases'!A1" display="&lt;-Volver al inicio" xr:uid="{00000000-0004-0000-13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8"/>
  <sheetViews>
    <sheetView topLeftCell="J7" workbookViewId="0">
      <selection activeCell="B32" sqref="B3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4.5703125" style="1" customWidth="1"/>
    <col min="5" max="5" width="69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22.85546875" style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Clases!A22</f>
        <v>PilotRole</v>
      </c>
      <c r="C2" s="106"/>
      <c r="D2" s="106"/>
      <c r="E2" s="107"/>
    </row>
    <row r="3" spans="1:14">
      <c r="A3" s="17" t="str">
        <f>Clases!$B$1</f>
        <v>Estereotipo</v>
      </c>
      <c r="B3" s="53" t="s">
        <v>48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Clases!C22</f>
        <v>Enumeración que representa el rol que desempeña un piloto durante un segmento de vuelo: piloto al mando(PF), piloto de monitoreo(PM), piloto de despegue(PFTO) o piloto de aterrizaje(PFL).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356</v>
      </c>
      <c r="B9" s="53" t="s">
        <v>357</v>
      </c>
      <c r="C9" s="108"/>
      <c r="D9" s="109"/>
      <c r="E9" s="42" t="str">
        <f>HYPERLINK("#'"&amp;F9&amp;"'!A1", F9)</f>
        <v>DailyLogbookDetail</v>
      </c>
      <c r="F9" s="44" t="s">
        <v>33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9</v>
      </c>
      <c r="B13" s="3" t="s">
        <v>358</v>
      </c>
      <c r="C13" s="3" t="s">
        <v>359</v>
      </c>
      <c r="D13" s="3"/>
      <c r="E13" s="3" t="s">
        <v>360</v>
      </c>
      <c r="F13" s="3" t="s">
        <v>361</v>
      </c>
      <c r="G13" s="53" t="s">
        <v>362</v>
      </c>
      <c r="H13" s="108"/>
      <c r="I13" s="109"/>
      <c r="J13" s="53" t="s">
        <v>363</v>
      </c>
      <c r="K13" s="108"/>
      <c r="L13" s="108"/>
      <c r="M13" s="108"/>
      <c r="N13" s="109"/>
    </row>
    <row r="14" spans="1:14">
      <c r="A14" s="6" t="s">
        <v>9</v>
      </c>
      <c r="B14" s="3" t="s">
        <v>364</v>
      </c>
      <c r="C14" s="3" t="s">
        <v>359</v>
      </c>
      <c r="D14" s="3"/>
      <c r="E14" s="3" t="s">
        <v>360</v>
      </c>
      <c r="F14" s="3" t="s">
        <v>361</v>
      </c>
      <c r="G14" s="53" t="s">
        <v>365</v>
      </c>
      <c r="H14" s="108"/>
      <c r="I14" s="109"/>
      <c r="J14" s="53" t="s">
        <v>366</v>
      </c>
      <c r="K14" s="108"/>
      <c r="L14" s="108"/>
      <c r="M14" s="108"/>
      <c r="N14" s="109"/>
    </row>
    <row r="15" spans="1:14">
      <c r="A15" s="6" t="s">
        <v>9</v>
      </c>
      <c r="B15" s="3" t="s">
        <v>367</v>
      </c>
      <c r="C15" s="3" t="s">
        <v>359</v>
      </c>
      <c r="D15" s="3"/>
      <c r="E15" s="3" t="s">
        <v>360</v>
      </c>
      <c r="F15" s="3" t="s">
        <v>361</v>
      </c>
      <c r="G15" s="53" t="s">
        <v>368</v>
      </c>
      <c r="H15" s="108"/>
      <c r="I15" s="109"/>
      <c r="J15" s="53" t="s">
        <v>369</v>
      </c>
      <c r="K15" s="108"/>
      <c r="L15" s="108"/>
      <c r="M15" s="108"/>
      <c r="N15" s="109"/>
    </row>
    <row r="16" spans="1:14">
      <c r="A16" s="6" t="s">
        <v>9</v>
      </c>
      <c r="B16" s="3" t="s">
        <v>370</v>
      </c>
      <c r="C16" s="3" t="s">
        <v>359</v>
      </c>
      <c r="D16" s="3"/>
      <c r="E16" s="3" t="s">
        <v>360</v>
      </c>
      <c r="F16" s="3" t="s">
        <v>361</v>
      </c>
      <c r="G16" s="53" t="s">
        <v>371</v>
      </c>
      <c r="H16" s="108"/>
      <c r="I16" s="109"/>
      <c r="J16" s="53" t="s">
        <v>372</v>
      </c>
      <c r="K16" s="108"/>
      <c r="L16" s="108"/>
      <c r="M16" s="108"/>
      <c r="N16" s="109"/>
    </row>
    <row r="17" spans="1:14">
      <c r="A17" s="64" t="s">
        <v>97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9"/>
    </row>
    <row r="18" spans="1:14">
      <c r="A18" s="62" t="s">
        <v>4</v>
      </c>
      <c r="B18" s="54" t="s">
        <v>73</v>
      </c>
      <c r="C18" s="54" t="s">
        <v>98</v>
      </c>
      <c r="D18" s="54" t="s">
        <v>99</v>
      </c>
      <c r="E18" s="54" t="s">
        <v>100</v>
      </c>
      <c r="F18" s="108"/>
      <c r="G18" s="108"/>
      <c r="H18" s="108"/>
      <c r="I18" s="108"/>
      <c r="J18" s="108"/>
      <c r="K18" s="108"/>
      <c r="L18" s="109"/>
      <c r="M18" s="54" t="s">
        <v>101</v>
      </c>
      <c r="N18" s="112"/>
    </row>
    <row r="19" spans="1:14">
      <c r="A19" s="113"/>
      <c r="B19" s="114"/>
      <c r="C19" s="114"/>
      <c r="D19" s="114"/>
      <c r="E19" s="11" t="s">
        <v>73</v>
      </c>
      <c r="F19" s="11" t="s">
        <v>74</v>
      </c>
      <c r="G19" s="11" t="s">
        <v>79</v>
      </c>
      <c r="H19" s="11" t="s">
        <v>102</v>
      </c>
      <c r="I19" s="11" t="s">
        <v>75</v>
      </c>
      <c r="J19" s="54" t="s">
        <v>99</v>
      </c>
      <c r="K19" s="108"/>
      <c r="L19" s="109"/>
      <c r="M19" s="115"/>
      <c r="N19" s="117"/>
    </row>
    <row r="20" spans="1:14">
      <c r="A20" s="6" t="s">
        <v>10</v>
      </c>
      <c r="B20" s="3"/>
      <c r="C20" s="3"/>
      <c r="D20" s="3" t="s">
        <v>373</v>
      </c>
      <c r="E20" s="3"/>
      <c r="F20" s="3"/>
      <c r="G20" s="3"/>
      <c r="H20" s="3"/>
      <c r="I20" s="3"/>
      <c r="J20" s="53"/>
      <c r="K20" s="108"/>
      <c r="L20" s="109"/>
      <c r="M20" s="63"/>
      <c r="N20" s="110"/>
    </row>
    <row r="21" spans="1:14">
      <c r="A21" s="61" t="s">
        <v>104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9"/>
    </row>
    <row r="22" spans="1:14">
      <c r="A22" s="65" t="s">
        <v>4</v>
      </c>
      <c r="B22" s="66" t="s">
        <v>73</v>
      </c>
      <c r="C22" s="66" t="s">
        <v>106</v>
      </c>
      <c r="D22" s="66" t="s">
        <v>107</v>
      </c>
      <c r="E22" s="66" t="s">
        <v>99</v>
      </c>
      <c r="F22" s="66" t="s">
        <v>100</v>
      </c>
      <c r="G22" s="108"/>
      <c r="H22" s="108"/>
      <c r="I22" s="108"/>
      <c r="J22" s="108"/>
      <c r="K22" s="109"/>
      <c r="L22" s="66" t="s">
        <v>108</v>
      </c>
      <c r="M22" s="109"/>
      <c r="N22" s="60" t="s">
        <v>101</v>
      </c>
    </row>
    <row r="23" spans="1:14">
      <c r="A23" s="113"/>
      <c r="B23" s="114"/>
      <c r="C23" s="114"/>
      <c r="D23" s="114"/>
      <c r="E23" s="114"/>
      <c r="F23" s="12" t="s">
        <v>73</v>
      </c>
      <c r="G23" s="12" t="s">
        <v>74</v>
      </c>
      <c r="H23" s="12" t="s">
        <v>79</v>
      </c>
      <c r="I23" s="12" t="s">
        <v>102</v>
      </c>
      <c r="J23" s="12" t="s">
        <v>75</v>
      </c>
      <c r="K23" s="12" t="s">
        <v>99</v>
      </c>
      <c r="L23" s="12" t="s">
        <v>74</v>
      </c>
      <c r="M23" s="12" t="s">
        <v>79</v>
      </c>
      <c r="N23" s="118"/>
    </row>
    <row r="24" spans="1:14">
      <c r="A24" s="6" t="s">
        <v>10</v>
      </c>
      <c r="B24" s="3"/>
      <c r="C24" s="3"/>
      <c r="D24" s="3"/>
      <c r="E24" s="3" t="s">
        <v>374</v>
      </c>
      <c r="F24" s="3" t="s">
        <v>375</v>
      </c>
      <c r="G24" s="3"/>
      <c r="H24" s="3"/>
      <c r="I24" s="3"/>
      <c r="J24" s="3"/>
      <c r="K24" s="3"/>
      <c r="L24" s="3"/>
      <c r="M24" s="3"/>
      <c r="N24" s="7"/>
    </row>
    <row r="25" spans="1:14">
      <c r="A25" s="76" t="s">
        <v>110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/>
    </row>
    <row r="26" spans="1:14">
      <c r="A26" s="77" t="s">
        <v>4</v>
      </c>
      <c r="B26" s="70" t="s">
        <v>73</v>
      </c>
      <c r="C26" s="70" t="s">
        <v>111</v>
      </c>
      <c r="D26" s="70" t="s">
        <v>107</v>
      </c>
      <c r="E26" s="70" t="s">
        <v>99</v>
      </c>
      <c r="F26" s="70" t="s">
        <v>100</v>
      </c>
      <c r="G26" s="108"/>
      <c r="H26" s="108"/>
      <c r="I26" s="108"/>
      <c r="J26" s="108"/>
      <c r="K26" s="109"/>
      <c r="L26" s="70" t="s">
        <v>108</v>
      </c>
      <c r="M26" s="109"/>
      <c r="N26" s="75" t="s">
        <v>101</v>
      </c>
    </row>
    <row r="27" spans="1:14">
      <c r="A27" s="113"/>
      <c r="B27" s="114"/>
      <c r="C27" s="114"/>
      <c r="D27" s="114"/>
      <c r="E27" s="114"/>
      <c r="F27" s="13" t="s">
        <v>73</v>
      </c>
      <c r="G27" s="13" t="s">
        <v>74</v>
      </c>
      <c r="H27" s="13" t="s">
        <v>79</v>
      </c>
      <c r="I27" s="13" t="s">
        <v>102</v>
      </c>
      <c r="J27" s="13" t="s">
        <v>75</v>
      </c>
      <c r="K27" s="13" t="s">
        <v>99</v>
      </c>
      <c r="L27" s="13" t="s">
        <v>74</v>
      </c>
      <c r="M27" s="13" t="s">
        <v>79</v>
      </c>
      <c r="N27" s="118"/>
    </row>
    <row r="28" spans="1:14">
      <c r="A28" s="6" t="s">
        <v>9</v>
      </c>
      <c r="B28" s="3" t="s">
        <v>376</v>
      </c>
      <c r="C28" s="3" t="s">
        <v>83</v>
      </c>
      <c r="D28" s="3" t="s">
        <v>113</v>
      </c>
      <c r="E28" s="3" t="s">
        <v>377</v>
      </c>
      <c r="F28" s="3" t="s">
        <v>378</v>
      </c>
      <c r="G28" s="3" t="s">
        <v>81</v>
      </c>
      <c r="H28" s="3"/>
      <c r="I28" s="3" t="s">
        <v>379</v>
      </c>
      <c r="J28" s="3"/>
      <c r="K28" s="3" t="s">
        <v>380</v>
      </c>
      <c r="L28" s="3" t="s">
        <v>141</v>
      </c>
      <c r="M28" s="3"/>
      <c r="N28" s="7"/>
    </row>
  </sheetData>
  <mergeCells count="53">
    <mergeCell ref="B2:E2"/>
    <mergeCell ref="N22:N23"/>
    <mergeCell ref="A21:N21"/>
    <mergeCell ref="A18:A19"/>
    <mergeCell ref="D26:D27"/>
    <mergeCell ref="F26:K26"/>
    <mergeCell ref="C18:C19"/>
    <mergeCell ref="D18:D19"/>
    <mergeCell ref="E11:E12"/>
    <mergeCell ref="G16:I16"/>
    <mergeCell ref="C22:C23"/>
    <mergeCell ref="A25:N25"/>
    <mergeCell ref="B6:E6"/>
    <mergeCell ref="F11:F12"/>
    <mergeCell ref="C26:C27"/>
    <mergeCell ref="A1:E1"/>
    <mergeCell ref="A10:N10"/>
    <mergeCell ref="B5:E5"/>
    <mergeCell ref="J19:L19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18:L18"/>
    <mergeCell ref="M18:N19"/>
    <mergeCell ref="E26:E27"/>
    <mergeCell ref="B26:B27"/>
    <mergeCell ref="L22:M22"/>
    <mergeCell ref="N26:N27"/>
    <mergeCell ref="B22:B23"/>
    <mergeCell ref="D22:D23"/>
    <mergeCell ref="L26:M26"/>
    <mergeCell ref="J15:N15"/>
    <mergeCell ref="J16:N16"/>
    <mergeCell ref="F22:K22"/>
    <mergeCell ref="J13:N13"/>
    <mergeCell ref="J20:L20"/>
    <mergeCell ref="A17:N17"/>
    <mergeCell ref="A22:A23"/>
    <mergeCell ref="A26:A27"/>
    <mergeCell ref="B11:B12"/>
    <mergeCell ref="B8:D8"/>
    <mergeCell ref="G15:I15"/>
    <mergeCell ref="M20:N20"/>
    <mergeCell ref="E22:E23"/>
    <mergeCell ref="C11:D11"/>
    <mergeCell ref="B18:B19"/>
  </mergeCells>
  <hyperlinks>
    <hyperlink ref="A1" location="'Clases'!A1" display="&lt;-Volver al inicio" xr:uid="{00000000-0004-0000-16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8"/>
  <sheetViews>
    <sheetView workbookViewId="0">
      <selection activeCell="C32" sqref="C32"/>
    </sheetView>
  </sheetViews>
  <sheetFormatPr defaultColWidth="19.7109375" defaultRowHeight="15"/>
  <cols>
    <col min="1" max="1" width="28.7109375" style="1" customWidth="1"/>
    <col min="2" max="2" width="18.5703125" style="1" customWidth="1"/>
    <col min="3" max="3" width="27.140625" style="1" bestFit="1" customWidth="1"/>
    <col min="4" max="4" width="33.42578125" style="1" bestFit="1" customWidth="1"/>
    <col min="5" max="5" width="79.28515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Clases!A23</f>
        <v>CrewRole</v>
      </c>
      <c r="C2" s="106"/>
      <c r="D2" s="106"/>
      <c r="E2" s="107"/>
    </row>
    <row r="3" spans="1:14">
      <c r="A3" s="17" t="str">
        <f>Clases!$B$1</f>
        <v>Estereotipo</v>
      </c>
      <c r="B3" s="53" t="s">
        <v>48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Clases!C23</f>
        <v>Enumeración que representa la posición del tripulante en la cabina: capitán o primer oficial.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356</v>
      </c>
      <c r="B9" s="53" t="s">
        <v>357</v>
      </c>
      <c r="C9" s="108"/>
      <c r="D9" s="109"/>
      <c r="E9" s="42" t="str">
        <f>HYPERLINK("#'"&amp;F9&amp;"'!A1", F9)</f>
        <v>DailyLogbookDetail</v>
      </c>
      <c r="F9" s="44" t="s">
        <v>33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381</v>
      </c>
      <c r="C13" s="3" t="s">
        <v>359</v>
      </c>
      <c r="D13" s="3"/>
      <c r="E13" s="3" t="s">
        <v>360</v>
      </c>
      <c r="F13" s="3" t="s">
        <v>361</v>
      </c>
      <c r="G13" s="53" t="s">
        <v>382</v>
      </c>
      <c r="H13" s="108"/>
      <c r="I13" s="109"/>
      <c r="J13" s="53" t="s">
        <v>383</v>
      </c>
      <c r="K13" s="108"/>
      <c r="L13" s="108"/>
      <c r="M13" s="108"/>
      <c r="N13" s="109"/>
    </row>
    <row r="14" spans="1:14">
      <c r="A14" s="6" t="s">
        <v>62</v>
      </c>
      <c r="B14" s="3" t="s">
        <v>384</v>
      </c>
      <c r="C14" s="3" t="s">
        <v>359</v>
      </c>
      <c r="D14" s="3"/>
      <c r="E14" s="3" t="s">
        <v>360</v>
      </c>
      <c r="F14" s="3" t="s">
        <v>361</v>
      </c>
      <c r="G14" s="53" t="s">
        <v>385</v>
      </c>
      <c r="H14" s="108"/>
      <c r="I14" s="109"/>
      <c r="J14" s="53" t="s">
        <v>386</v>
      </c>
      <c r="K14" s="108"/>
      <c r="L14" s="108"/>
      <c r="M14" s="108"/>
      <c r="N14" s="109"/>
    </row>
    <row r="15" spans="1:14">
      <c r="A15" s="64" t="s">
        <v>97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/>
    </row>
    <row r="16" spans="1:14">
      <c r="A16" s="62" t="s">
        <v>4</v>
      </c>
      <c r="B16" s="54" t="s">
        <v>73</v>
      </c>
      <c r="C16" s="54" t="s">
        <v>98</v>
      </c>
      <c r="D16" s="54" t="s">
        <v>99</v>
      </c>
      <c r="E16" s="54" t="s">
        <v>100</v>
      </c>
      <c r="F16" s="108"/>
      <c r="G16" s="108"/>
      <c r="H16" s="108"/>
      <c r="I16" s="108"/>
      <c r="J16" s="108"/>
      <c r="K16" s="108"/>
      <c r="L16" s="109"/>
      <c r="M16" s="54" t="s">
        <v>101</v>
      </c>
      <c r="N16" s="112"/>
    </row>
    <row r="17" spans="1:14">
      <c r="A17" s="113"/>
      <c r="B17" s="114"/>
      <c r="C17" s="114"/>
      <c r="D17" s="114"/>
      <c r="E17" s="11" t="s">
        <v>73</v>
      </c>
      <c r="F17" s="11" t="s">
        <v>74</v>
      </c>
      <c r="G17" s="11" t="s">
        <v>79</v>
      </c>
      <c r="H17" s="11" t="s">
        <v>102</v>
      </c>
      <c r="I17" s="11" t="s">
        <v>75</v>
      </c>
      <c r="J17" s="54" t="s">
        <v>99</v>
      </c>
      <c r="K17" s="108"/>
      <c r="L17" s="109"/>
      <c r="M17" s="115"/>
      <c r="N17" s="117"/>
    </row>
    <row r="18" spans="1:14">
      <c r="A18" s="6" t="s">
        <v>10</v>
      </c>
      <c r="B18" s="3"/>
      <c r="C18" s="3"/>
      <c r="D18" s="3" t="s">
        <v>373</v>
      </c>
      <c r="E18" s="3"/>
      <c r="F18" s="3"/>
      <c r="G18" s="3"/>
      <c r="H18" s="3"/>
      <c r="I18" s="3"/>
      <c r="J18" s="53"/>
      <c r="K18" s="108"/>
      <c r="L18" s="109"/>
      <c r="M18" s="63"/>
      <c r="N18" s="110"/>
    </row>
    <row r="19" spans="1:14">
      <c r="A19" s="6"/>
      <c r="B19" s="3"/>
      <c r="C19" s="3"/>
      <c r="D19" s="3"/>
      <c r="E19" s="3"/>
      <c r="F19" s="3"/>
      <c r="G19" s="3"/>
      <c r="H19" s="3"/>
      <c r="I19" s="3"/>
      <c r="J19" s="53"/>
      <c r="K19" s="108"/>
      <c r="L19" s="109"/>
      <c r="M19" s="63"/>
      <c r="N19" s="110"/>
    </row>
    <row r="20" spans="1:14">
      <c r="A20" s="61" t="s">
        <v>104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/>
    </row>
    <row r="21" spans="1:14">
      <c r="A21" s="65" t="s">
        <v>4</v>
      </c>
      <c r="B21" s="66" t="s">
        <v>73</v>
      </c>
      <c r="C21" s="66" t="s">
        <v>106</v>
      </c>
      <c r="D21" s="66" t="s">
        <v>107</v>
      </c>
      <c r="E21" s="66" t="s">
        <v>99</v>
      </c>
      <c r="F21" s="66" t="s">
        <v>100</v>
      </c>
      <c r="G21" s="108"/>
      <c r="H21" s="108"/>
      <c r="I21" s="108"/>
      <c r="J21" s="108"/>
      <c r="K21" s="109"/>
      <c r="L21" s="66" t="s">
        <v>108</v>
      </c>
      <c r="M21" s="109"/>
      <c r="N21" s="60" t="s">
        <v>101</v>
      </c>
    </row>
    <row r="22" spans="1:14">
      <c r="A22" s="113"/>
      <c r="B22" s="114"/>
      <c r="C22" s="114"/>
      <c r="D22" s="114"/>
      <c r="E22" s="114"/>
      <c r="F22" s="12" t="s">
        <v>73</v>
      </c>
      <c r="G22" s="12" t="s">
        <v>74</v>
      </c>
      <c r="H22" s="12" t="s">
        <v>79</v>
      </c>
      <c r="I22" s="12" t="s">
        <v>102</v>
      </c>
      <c r="J22" s="12" t="s">
        <v>75</v>
      </c>
      <c r="K22" s="12" t="s">
        <v>99</v>
      </c>
      <c r="L22" s="12" t="s">
        <v>74</v>
      </c>
      <c r="M22" s="12" t="s">
        <v>79</v>
      </c>
      <c r="N22" s="118"/>
    </row>
    <row r="23" spans="1:14">
      <c r="A23" s="6" t="s">
        <v>10</v>
      </c>
      <c r="B23" s="3"/>
      <c r="C23" s="3"/>
      <c r="D23" s="3"/>
      <c r="E23" s="3" t="s">
        <v>387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76" t="s">
        <v>110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/>
    </row>
    <row r="26" spans="1:14">
      <c r="A26" s="77" t="s">
        <v>4</v>
      </c>
      <c r="B26" s="70" t="s">
        <v>73</v>
      </c>
      <c r="C26" s="70" t="s">
        <v>111</v>
      </c>
      <c r="D26" s="70" t="s">
        <v>107</v>
      </c>
      <c r="E26" s="70" t="s">
        <v>99</v>
      </c>
      <c r="F26" s="70" t="s">
        <v>100</v>
      </c>
      <c r="G26" s="108"/>
      <c r="H26" s="108"/>
      <c r="I26" s="108"/>
      <c r="J26" s="108"/>
      <c r="K26" s="109"/>
      <c r="L26" s="70" t="s">
        <v>108</v>
      </c>
      <c r="M26" s="109"/>
      <c r="N26" s="75" t="s">
        <v>101</v>
      </c>
    </row>
    <row r="27" spans="1:14">
      <c r="A27" s="113"/>
      <c r="B27" s="114"/>
      <c r="C27" s="114"/>
      <c r="D27" s="114"/>
      <c r="E27" s="114"/>
      <c r="F27" s="13" t="s">
        <v>73</v>
      </c>
      <c r="G27" s="13" t="s">
        <v>74</v>
      </c>
      <c r="H27" s="13" t="s">
        <v>79</v>
      </c>
      <c r="I27" s="13" t="s">
        <v>102</v>
      </c>
      <c r="J27" s="13" t="s">
        <v>75</v>
      </c>
      <c r="K27" s="13" t="s">
        <v>99</v>
      </c>
      <c r="L27" s="13" t="s">
        <v>74</v>
      </c>
      <c r="M27" s="13" t="s">
        <v>79</v>
      </c>
      <c r="N27" s="118"/>
    </row>
    <row r="28" spans="1:14">
      <c r="A28" s="6" t="s">
        <v>62</v>
      </c>
      <c r="B28" s="3" t="s">
        <v>388</v>
      </c>
      <c r="C28" s="3" t="s">
        <v>83</v>
      </c>
      <c r="D28" s="3" t="s">
        <v>113</v>
      </c>
      <c r="E28" s="3" t="s">
        <v>389</v>
      </c>
      <c r="F28" s="3" t="s">
        <v>378</v>
      </c>
      <c r="G28" s="3" t="s">
        <v>81</v>
      </c>
      <c r="H28" s="3"/>
      <c r="I28" s="3" t="s">
        <v>379</v>
      </c>
      <c r="J28" s="3"/>
      <c r="K28" s="3" t="s">
        <v>380</v>
      </c>
      <c r="L28" s="3" t="s">
        <v>141</v>
      </c>
      <c r="M28" s="3"/>
      <c r="N28" s="7"/>
    </row>
  </sheetData>
  <mergeCells count="51">
    <mergeCell ref="A26:A27"/>
    <mergeCell ref="B2:E2"/>
    <mergeCell ref="N21:N22"/>
    <mergeCell ref="A20:N20"/>
    <mergeCell ref="A16:A17"/>
    <mergeCell ref="D26:D27"/>
    <mergeCell ref="F26:K26"/>
    <mergeCell ref="C16:C17"/>
    <mergeCell ref="D16:D17"/>
    <mergeCell ref="E11:E12"/>
    <mergeCell ref="C21:C22"/>
    <mergeCell ref="A25:N25"/>
    <mergeCell ref="F11:F12"/>
    <mergeCell ref="C26:C27"/>
    <mergeCell ref="A1:E1"/>
    <mergeCell ref="A10:N10"/>
    <mergeCell ref="B5:E5"/>
    <mergeCell ref="J17:L17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16:L16"/>
    <mergeCell ref="B6:E6"/>
    <mergeCell ref="E26:E27"/>
    <mergeCell ref="B26:B27"/>
    <mergeCell ref="J19:L19"/>
    <mergeCell ref="L21:M21"/>
    <mergeCell ref="N26:N27"/>
    <mergeCell ref="B21:B22"/>
    <mergeCell ref="M19:N19"/>
    <mergeCell ref="D21:D22"/>
    <mergeCell ref="L26:M26"/>
    <mergeCell ref="C11:D11"/>
    <mergeCell ref="F21:K21"/>
    <mergeCell ref="A21:A22"/>
    <mergeCell ref="B11:B12"/>
    <mergeCell ref="B8:D8"/>
    <mergeCell ref="E21:E22"/>
    <mergeCell ref="J13:N13"/>
    <mergeCell ref="J18:L18"/>
    <mergeCell ref="B16:B17"/>
    <mergeCell ref="A15:N15"/>
    <mergeCell ref="M18:N18"/>
    <mergeCell ref="M16:N17"/>
  </mergeCells>
  <hyperlinks>
    <hyperlink ref="A1" location="'Clases'!A1" display="&lt;-Volver al inicio" xr:uid="{00000000-0004-0000-17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6"/>
  <sheetViews>
    <sheetView topLeftCell="A3" workbookViewId="0">
      <selection activeCell="C32" sqref="C32"/>
    </sheetView>
  </sheetViews>
  <sheetFormatPr defaultColWidth="19.7109375" defaultRowHeight="15"/>
  <cols>
    <col min="1" max="1" width="28.7109375" style="1" customWidth="1"/>
    <col min="2" max="2" width="18.7109375" style="1" customWidth="1"/>
    <col min="3" max="3" width="27.140625" style="1" bestFit="1" customWidth="1"/>
    <col min="4" max="4" width="33.42578125" style="1" bestFit="1" customWidth="1"/>
    <col min="5" max="5" width="82.710937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9" width="30.42578125" style="1" customWidth="1"/>
    <col min="10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27" style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Clases!A24</f>
        <v>ApproachType</v>
      </c>
      <c r="C2" s="106"/>
      <c r="D2" s="106"/>
      <c r="E2" s="107"/>
    </row>
    <row r="3" spans="1:14">
      <c r="A3" s="17" t="str">
        <f>Clases!$B$1</f>
        <v>Estereotipo</v>
      </c>
      <c r="B3" s="53" t="s">
        <v>48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Clases!C24</f>
        <v>Enumeración que representa el tipo de aproximación realizada durante el aterrizaje: aproximación con guía vertical o aproximación visual.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341</v>
      </c>
      <c r="B9" s="53" t="s">
        <v>390</v>
      </c>
      <c r="C9" s="108"/>
      <c r="D9" s="109"/>
      <c r="E9" s="42" t="str">
        <f>HYPERLINK("#'"&amp;F9&amp;"'!A1", F9)</f>
        <v>DailyLogbookDetail</v>
      </c>
      <c r="F9" s="44" t="s">
        <v>33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391</v>
      </c>
      <c r="C13" s="3" t="s">
        <v>359</v>
      </c>
      <c r="D13" s="3"/>
      <c r="E13" s="3" t="s">
        <v>360</v>
      </c>
      <c r="F13" s="3" t="s">
        <v>361</v>
      </c>
      <c r="G13" s="53" t="s">
        <v>392</v>
      </c>
      <c r="H13" s="108"/>
      <c r="I13" s="109"/>
      <c r="J13" s="53" t="s">
        <v>393</v>
      </c>
      <c r="K13" s="108"/>
      <c r="L13" s="108"/>
      <c r="M13" s="108"/>
      <c r="N13" s="109"/>
    </row>
    <row r="14" spans="1:14">
      <c r="A14" s="6" t="s">
        <v>62</v>
      </c>
      <c r="B14" s="3" t="s">
        <v>394</v>
      </c>
      <c r="C14" s="3" t="s">
        <v>359</v>
      </c>
      <c r="D14" s="3"/>
      <c r="E14" s="3" t="s">
        <v>360</v>
      </c>
      <c r="F14" s="3" t="s">
        <v>361</v>
      </c>
      <c r="G14" s="53" t="s">
        <v>395</v>
      </c>
      <c r="H14" s="108"/>
      <c r="I14" s="109"/>
      <c r="J14" s="53" t="s">
        <v>396</v>
      </c>
      <c r="K14" s="108"/>
      <c r="L14" s="108"/>
      <c r="M14" s="108"/>
      <c r="N14" s="109"/>
    </row>
    <row r="15" spans="1:14">
      <c r="A15" s="64" t="s">
        <v>97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/>
    </row>
    <row r="16" spans="1:14">
      <c r="A16" s="62" t="s">
        <v>4</v>
      </c>
      <c r="B16" s="54" t="s">
        <v>73</v>
      </c>
      <c r="C16" s="54" t="s">
        <v>98</v>
      </c>
      <c r="D16" s="54" t="s">
        <v>99</v>
      </c>
      <c r="E16" s="54" t="s">
        <v>100</v>
      </c>
      <c r="F16" s="108"/>
      <c r="G16" s="108"/>
      <c r="H16" s="108"/>
      <c r="I16" s="108"/>
      <c r="J16" s="108"/>
      <c r="K16" s="108"/>
      <c r="L16" s="109"/>
      <c r="M16" s="54" t="s">
        <v>101</v>
      </c>
      <c r="N16" s="112"/>
    </row>
    <row r="17" spans="1:14">
      <c r="A17" s="113"/>
      <c r="B17" s="114"/>
      <c r="C17" s="114"/>
      <c r="D17" s="114"/>
      <c r="E17" s="11" t="s">
        <v>73</v>
      </c>
      <c r="F17" s="11" t="s">
        <v>74</v>
      </c>
      <c r="G17" s="11" t="s">
        <v>79</v>
      </c>
      <c r="H17" s="11" t="s">
        <v>102</v>
      </c>
      <c r="I17" s="11" t="s">
        <v>75</v>
      </c>
      <c r="J17" s="54" t="s">
        <v>99</v>
      </c>
      <c r="K17" s="108"/>
      <c r="L17" s="109"/>
      <c r="M17" s="115"/>
      <c r="N17" s="117"/>
    </row>
    <row r="18" spans="1:14">
      <c r="A18" s="6" t="s">
        <v>10</v>
      </c>
      <c r="B18" s="3"/>
      <c r="C18" s="3"/>
      <c r="D18" s="3" t="s">
        <v>373</v>
      </c>
      <c r="E18" s="3"/>
      <c r="F18" s="3"/>
      <c r="G18" s="3"/>
      <c r="H18" s="3"/>
      <c r="I18" s="3"/>
      <c r="J18" s="53"/>
      <c r="K18" s="108"/>
      <c r="L18" s="109"/>
      <c r="M18" s="63"/>
      <c r="N18" s="110"/>
    </row>
    <row r="19" spans="1:14">
      <c r="A19" s="61" t="s">
        <v>104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/>
    </row>
    <row r="20" spans="1:14">
      <c r="A20" s="65" t="s">
        <v>4</v>
      </c>
      <c r="B20" s="66" t="s">
        <v>73</v>
      </c>
      <c r="C20" s="66" t="s">
        <v>106</v>
      </c>
      <c r="D20" s="66" t="s">
        <v>107</v>
      </c>
      <c r="E20" s="66" t="s">
        <v>99</v>
      </c>
      <c r="F20" s="66" t="s">
        <v>100</v>
      </c>
      <c r="G20" s="108"/>
      <c r="H20" s="108"/>
      <c r="I20" s="108"/>
      <c r="J20" s="108"/>
      <c r="K20" s="109"/>
      <c r="L20" s="66" t="s">
        <v>108</v>
      </c>
      <c r="M20" s="109"/>
      <c r="N20" s="60" t="s">
        <v>101</v>
      </c>
    </row>
    <row r="21" spans="1:14">
      <c r="A21" s="113"/>
      <c r="B21" s="114"/>
      <c r="C21" s="114"/>
      <c r="D21" s="114"/>
      <c r="E21" s="114"/>
      <c r="F21" s="12" t="s">
        <v>73</v>
      </c>
      <c r="G21" s="12" t="s">
        <v>74</v>
      </c>
      <c r="H21" s="12" t="s">
        <v>79</v>
      </c>
      <c r="I21" s="12" t="s">
        <v>102</v>
      </c>
      <c r="J21" s="12" t="s">
        <v>75</v>
      </c>
      <c r="K21" s="12" t="s">
        <v>99</v>
      </c>
      <c r="L21" s="12" t="s">
        <v>74</v>
      </c>
      <c r="M21" s="12" t="s">
        <v>79</v>
      </c>
      <c r="N21" s="118"/>
    </row>
    <row r="22" spans="1:14">
      <c r="A22" s="6" t="s">
        <v>10</v>
      </c>
      <c r="B22" s="3"/>
      <c r="C22" s="3"/>
      <c r="D22" s="3"/>
      <c r="E22" s="3" t="s">
        <v>387</v>
      </c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76" t="s">
        <v>110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77" t="s">
        <v>4</v>
      </c>
      <c r="B24" s="70" t="s">
        <v>73</v>
      </c>
      <c r="C24" s="70" t="s">
        <v>111</v>
      </c>
      <c r="D24" s="70" t="s">
        <v>107</v>
      </c>
      <c r="E24" s="70" t="s">
        <v>99</v>
      </c>
      <c r="F24" s="70" t="s">
        <v>100</v>
      </c>
      <c r="G24" s="108"/>
      <c r="H24" s="108"/>
      <c r="I24" s="108"/>
      <c r="J24" s="108"/>
      <c r="K24" s="109"/>
      <c r="L24" s="70" t="s">
        <v>108</v>
      </c>
      <c r="M24" s="109"/>
      <c r="N24" s="75" t="s">
        <v>101</v>
      </c>
    </row>
    <row r="25" spans="1:14">
      <c r="A25" s="113"/>
      <c r="B25" s="114"/>
      <c r="C25" s="114"/>
      <c r="D25" s="114"/>
      <c r="E25" s="114"/>
      <c r="F25" s="13" t="s">
        <v>73</v>
      </c>
      <c r="G25" s="13" t="s">
        <v>74</v>
      </c>
      <c r="H25" s="13" t="s">
        <v>79</v>
      </c>
      <c r="I25" s="13" t="s">
        <v>102</v>
      </c>
      <c r="J25" s="13" t="s">
        <v>75</v>
      </c>
      <c r="K25" s="13" t="s">
        <v>99</v>
      </c>
      <c r="L25" s="13" t="s">
        <v>74</v>
      </c>
      <c r="M25" s="13" t="s">
        <v>79</v>
      </c>
      <c r="N25" s="118"/>
    </row>
    <row r="26" spans="1:14">
      <c r="A26" s="6" t="s">
        <v>62</v>
      </c>
      <c r="B26" s="3" t="s">
        <v>397</v>
      </c>
      <c r="C26" s="3" t="s">
        <v>83</v>
      </c>
      <c r="D26" s="3" t="s">
        <v>82</v>
      </c>
      <c r="E26" s="3" t="s">
        <v>398</v>
      </c>
      <c r="F26" s="3" t="s">
        <v>399</v>
      </c>
      <c r="G26" s="3" t="s">
        <v>400</v>
      </c>
      <c r="H26" s="3"/>
      <c r="I26" s="3" t="s">
        <v>379</v>
      </c>
      <c r="J26" s="3"/>
      <c r="K26" s="3" t="s">
        <v>401</v>
      </c>
      <c r="L26" s="3" t="s">
        <v>141</v>
      </c>
      <c r="M26" s="3"/>
      <c r="N26" s="7"/>
    </row>
  </sheetData>
  <mergeCells count="49">
    <mergeCell ref="B3:E3"/>
    <mergeCell ref="E16:L16"/>
    <mergeCell ref="M16:N17"/>
    <mergeCell ref="B2:E2"/>
    <mergeCell ref="N20:N21"/>
    <mergeCell ref="A19:N19"/>
    <mergeCell ref="A16:A17"/>
    <mergeCell ref="C16:C17"/>
    <mergeCell ref="D16:D17"/>
    <mergeCell ref="E11:E12"/>
    <mergeCell ref="C20:C21"/>
    <mergeCell ref="B6:E6"/>
    <mergeCell ref="F11:F12"/>
    <mergeCell ref="J13:N13"/>
    <mergeCell ref="N24:N25"/>
    <mergeCell ref="B20:B21"/>
    <mergeCell ref="J18:L18"/>
    <mergeCell ref="D20:D21"/>
    <mergeCell ref="A1:E1"/>
    <mergeCell ref="A10:N10"/>
    <mergeCell ref="B5:E5"/>
    <mergeCell ref="J17:L17"/>
    <mergeCell ref="G11:I12"/>
    <mergeCell ref="G14:I14"/>
    <mergeCell ref="G13:I13"/>
    <mergeCell ref="B4:E4"/>
    <mergeCell ref="J11:N12"/>
    <mergeCell ref="A11:A12"/>
    <mergeCell ref="J14:N14"/>
    <mergeCell ref="A7:E7"/>
    <mergeCell ref="L24:M24"/>
    <mergeCell ref="A24:A25"/>
    <mergeCell ref="F20:K20"/>
    <mergeCell ref="A20:A21"/>
    <mergeCell ref="B11:B12"/>
    <mergeCell ref="B24:B25"/>
    <mergeCell ref="L20:M20"/>
    <mergeCell ref="D24:D25"/>
    <mergeCell ref="F24:K24"/>
    <mergeCell ref="A23:N23"/>
    <mergeCell ref="C24:C25"/>
    <mergeCell ref="E24:E25"/>
    <mergeCell ref="B8:D8"/>
    <mergeCell ref="M18:N18"/>
    <mergeCell ref="E20:E21"/>
    <mergeCell ref="B16:B17"/>
    <mergeCell ref="A15:N15"/>
    <mergeCell ref="C11:D11"/>
    <mergeCell ref="B9:D9"/>
  </mergeCells>
  <hyperlinks>
    <hyperlink ref="A1" location="'Clases'!A1" display="&lt;-Volver al inicio" xr:uid="{00000000-0004-0000-18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6"/>
  <sheetViews>
    <sheetView workbookViewId="0">
      <selection activeCell="E26" sqref="E26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5.140625" style="1" customWidth="1"/>
    <col min="5" max="5" width="42.28515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9" width="30.85546875" style="1" customWidth="1"/>
    <col min="10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Clases!A21</f>
        <v>EmployeeRole</v>
      </c>
      <c r="C2" s="106"/>
      <c r="D2" s="106"/>
      <c r="E2" s="107"/>
    </row>
    <row r="3" spans="1:14">
      <c r="A3" s="17" t="str">
        <f>Clases!$B$1</f>
        <v>Estereotipo</v>
      </c>
      <c r="B3" s="53" t="s">
        <v>48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Clases!C21</f>
        <v>Enumeración que representa los roles disponibles para un empleado: administrador del sistema o piloto.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356</v>
      </c>
      <c r="B9" s="53" t="s">
        <v>357</v>
      </c>
      <c r="C9" s="108"/>
      <c r="D9" s="109"/>
      <c r="E9" s="42" t="str">
        <f>HYPERLINK("#'"&amp;F9&amp;"'!A1", F9)</f>
        <v>Employee</v>
      </c>
      <c r="F9" s="44" t="s">
        <v>6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9</v>
      </c>
      <c r="B13" s="3" t="s">
        <v>402</v>
      </c>
      <c r="C13" s="3" t="s">
        <v>359</v>
      </c>
      <c r="D13" s="3"/>
      <c r="E13" s="3" t="s">
        <v>360</v>
      </c>
      <c r="F13" s="3" t="s">
        <v>361</v>
      </c>
      <c r="G13" s="53" t="s">
        <v>403</v>
      </c>
      <c r="H13" s="108"/>
      <c r="I13" s="109"/>
      <c r="J13" s="53" t="s">
        <v>404</v>
      </c>
      <c r="K13" s="108"/>
      <c r="L13" s="108"/>
      <c r="M13" s="108"/>
      <c r="N13" s="109"/>
    </row>
    <row r="14" spans="1:14">
      <c r="A14" s="6" t="s">
        <v>9</v>
      </c>
      <c r="B14" s="3" t="s">
        <v>405</v>
      </c>
      <c r="C14" s="3" t="s">
        <v>359</v>
      </c>
      <c r="D14" s="3"/>
      <c r="E14" s="3" t="s">
        <v>360</v>
      </c>
      <c r="F14" s="3" t="s">
        <v>361</v>
      </c>
      <c r="G14" s="53" t="s">
        <v>406</v>
      </c>
      <c r="H14" s="108"/>
      <c r="I14" s="109"/>
      <c r="J14" s="53" t="s">
        <v>407</v>
      </c>
      <c r="K14" s="108"/>
      <c r="L14" s="108"/>
      <c r="M14" s="108"/>
      <c r="N14" s="109"/>
    </row>
    <row r="15" spans="1:14">
      <c r="A15" s="64" t="s">
        <v>97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9"/>
    </row>
    <row r="16" spans="1:14">
      <c r="A16" s="62" t="s">
        <v>4</v>
      </c>
      <c r="B16" s="54" t="s">
        <v>73</v>
      </c>
      <c r="C16" s="54" t="s">
        <v>98</v>
      </c>
      <c r="D16" s="54" t="s">
        <v>99</v>
      </c>
      <c r="E16" s="54" t="s">
        <v>100</v>
      </c>
      <c r="F16" s="108"/>
      <c r="G16" s="108"/>
      <c r="H16" s="108"/>
      <c r="I16" s="108"/>
      <c r="J16" s="108"/>
      <c r="K16" s="108"/>
      <c r="L16" s="109"/>
      <c r="M16" s="54" t="s">
        <v>101</v>
      </c>
      <c r="N16" s="112"/>
    </row>
    <row r="17" spans="1:14">
      <c r="A17" s="113"/>
      <c r="B17" s="114"/>
      <c r="C17" s="114"/>
      <c r="D17" s="114"/>
      <c r="E17" s="11" t="s">
        <v>73</v>
      </c>
      <c r="F17" s="11" t="s">
        <v>74</v>
      </c>
      <c r="G17" s="11" t="s">
        <v>79</v>
      </c>
      <c r="H17" s="11" t="s">
        <v>102</v>
      </c>
      <c r="I17" s="11" t="s">
        <v>75</v>
      </c>
      <c r="J17" s="54" t="s">
        <v>99</v>
      </c>
      <c r="K17" s="108"/>
      <c r="L17" s="109"/>
      <c r="M17" s="115"/>
      <c r="N17" s="117"/>
    </row>
    <row r="18" spans="1:14">
      <c r="A18" s="6" t="s">
        <v>10</v>
      </c>
      <c r="B18" s="3"/>
      <c r="C18" s="3"/>
      <c r="D18" s="3" t="s">
        <v>373</v>
      </c>
      <c r="E18" s="3"/>
      <c r="F18" s="3"/>
      <c r="G18" s="3"/>
      <c r="H18" s="3"/>
      <c r="I18" s="3"/>
      <c r="J18" s="53"/>
      <c r="K18" s="108"/>
      <c r="L18" s="109"/>
      <c r="M18" s="63"/>
      <c r="N18" s="110"/>
    </row>
    <row r="19" spans="1:14">
      <c r="A19" s="61" t="s">
        <v>104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/>
    </row>
    <row r="20" spans="1:14">
      <c r="A20" s="65" t="s">
        <v>4</v>
      </c>
      <c r="B20" s="66" t="s">
        <v>73</v>
      </c>
      <c r="C20" s="66" t="s">
        <v>106</v>
      </c>
      <c r="D20" s="66" t="s">
        <v>107</v>
      </c>
      <c r="E20" s="66" t="s">
        <v>99</v>
      </c>
      <c r="F20" s="66" t="s">
        <v>100</v>
      </c>
      <c r="G20" s="108"/>
      <c r="H20" s="108"/>
      <c r="I20" s="108"/>
      <c r="J20" s="108"/>
      <c r="K20" s="109"/>
      <c r="L20" s="66" t="s">
        <v>108</v>
      </c>
      <c r="M20" s="109"/>
      <c r="N20" s="60" t="s">
        <v>101</v>
      </c>
    </row>
    <row r="21" spans="1:14">
      <c r="A21" s="113"/>
      <c r="B21" s="114"/>
      <c r="C21" s="114"/>
      <c r="D21" s="114"/>
      <c r="E21" s="114"/>
      <c r="F21" s="12" t="s">
        <v>73</v>
      </c>
      <c r="G21" s="12" t="s">
        <v>74</v>
      </c>
      <c r="H21" s="12" t="s">
        <v>79</v>
      </c>
      <c r="I21" s="12" t="s">
        <v>102</v>
      </c>
      <c r="J21" s="12" t="s">
        <v>75</v>
      </c>
      <c r="K21" s="12" t="s">
        <v>99</v>
      </c>
      <c r="L21" s="12" t="s">
        <v>74</v>
      </c>
      <c r="M21" s="12" t="s">
        <v>79</v>
      </c>
      <c r="N21" s="118"/>
    </row>
    <row r="22" spans="1:14">
      <c r="A22" s="6" t="s">
        <v>10</v>
      </c>
      <c r="B22" s="3"/>
      <c r="C22" s="3"/>
      <c r="D22" s="3"/>
      <c r="E22" s="3" t="s">
        <v>408</v>
      </c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76" t="s">
        <v>110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77" t="s">
        <v>4</v>
      </c>
      <c r="B24" s="70" t="s">
        <v>73</v>
      </c>
      <c r="C24" s="70" t="s">
        <v>111</v>
      </c>
      <c r="D24" s="70" t="s">
        <v>107</v>
      </c>
      <c r="E24" s="70" t="s">
        <v>99</v>
      </c>
      <c r="F24" s="70" t="s">
        <v>100</v>
      </c>
      <c r="G24" s="108"/>
      <c r="H24" s="108"/>
      <c r="I24" s="108"/>
      <c r="J24" s="108"/>
      <c r="K24" s="109"/>
      <c r="L24" s="70" t="s">
        <v>108</v>
      </c>
      <c r="M24" s="109"/>
      <c r="N24" s="75" t="s">
        <v>101</v>
      </c>
    </row>
    <row r="25" spans="1:14">
      <c r="A25" s="113"/>
      <c r="B25" s="114"/>
      <c r="C25" s="114"/>
      <c r="D25" s="114"/>
      <c r="E25" s="114"/>
      <c r="F25" s="13" t="s">
        <v>73</v>
      </c>
      <c r="G25" s="13" t="s">
        <v>74</v>
      </c>
      <c r="H25" s="13" t="s">
        <v>79</v>
      </c>
      <c r="I25" s="13" t="s">
        <v>102</v>
      </c>
      <c r="J25" s="13" t="s">
        <v>75</v>
      </c>
      <c r="K25" s="13" t="s">
        <v>99</v>
      </c>
      <c r="L25" s="13" t="s">
        <v>74</v>
      </c>
      <c r="M25" s="13" t="s">
        <v>79</v>
      </c>
      <c r="N25" s="118"/>
    </row>
    <row r="26" spans="1:14">
      <c r="A26" s="6" t="s">
        <v>10</v>
      </c>
      <c r="B26" s="3"/>
      <c r="C26" s="3"/>
      <c r="D26" s="3"/>
      <c r="E26" s="3" t="s">
        <v>409</v>
      </c>
      <c r="F26" s="3"/>
      <c r="G26" s="3"/>
      <c r="H26" s="3"/>
      <c r="I26" s="3"/>
      <c r="J26" s="3"/>
      <c r="K26" s="3"/>
      <c r="L26" s="3"/>
      <c r="M26" s="3"/>
      <c r="N26" s="7"/>
    </row>
  </sheetData>
  <mergeCells count="49">
    <mergeCell ref="B3:E3"/>
    <mergeCell ref="E16:L16"/>
    <mergeCell ref="M16:N17"/>
    <mergeCell ref="B2:E2"/>
    <mergeCell ref="N20:N21"/>
    <mergeCell ref="A19:N19"/>
    <mergeCell ref="A16:A17"/>
    <mergeCell ref="C16:C17"/>
    <mergeCell ref="D16:D17"/>
    <mergeCell ref="E11:E12"/>
    <mergeCell ref="C20:C21"/>
    <mergeCell ref="B6:E6"/>
    <mergeCell ref="F11:F12"/>
    <mergeCell ref="J13:N13"/>
    <mergeCell ref="N24:N25"/>
    <mergeCell ref="B20:B21"/>
    <mergeCell ref="J18:L18"/>
    <mergeCell ref="D20:D21"/>
    <mergeCell ref="A1:E1"/>
    <mergeCell ref="A10:N10"/>
    <mergeCell ref="B5:E5"/>
    <mergeCell ref="J17:L17"/>
    <mergeCell ref="G11:I12"/>
    <mergeCell ref="G14:I14"/>
    <mergeCell ref="G13:I13"/>
    <mergeCell ref="B4:E4"/>
    <mergeCell ref="J11:N12"/>
    <mergeCell ref="A11:A12"/>
    <mergeCell ref="J14:N14"/>
    <mergeCell ref="A7:E7"/>
    <mergeCell ref="L24:M24"/>
    <mergeCell ref="A24:A25"/>
    <mergeCell ref="F20:K20"/>
    <mergeCell ref="A20:A21"/>
    <mergeCell ref="B11:B12"/>
    <mergeCell ref="B24:B25"/>
    <mergeCell ref="L20:M20"/>
    <mergeCell ref="D24:D25"/>
    <mergeCell ref="F24:K24"/>
    <mergeCell ref="A23:N23"/>
    <mergeCell ref="C24:C25"/>
    <mergeCell ref="E24:E25"/>
    <mergeCell ref="B8:D8"/>
    <mergeCell ref="M18:N18"/>
    <mergeCell ref="E20:E21"/>
    <mergeCell ref="B16:B17"/>
    <mergeCell ref="A15:N15"/>
    <mergeCell ref="C11:D11"/>
    <mergeCell ref="B9:D9"/>
  </mergeCells>
  <hyperlinks>
    <hyperlink ref="A1" location="'Clases'!A1" display="&lt;-Volver al inicio" xr:uid="{00000000-0004-0000-15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29"/>
  <sheetViews>
    <sheetView workbookViewId="0">
      <selection activeCell="A33" sqref="A33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4.5703125" style="1" customWidth="1"/>
    <col min="5" max="5" width="42.140625" style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9" width="23.42578125" style="1" customWidth="1"/>
    <col min="10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58.42578125" style="1" bestFit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Clases!A25</f>
        <v>MessageType</v>
      </c>
      <c r="C2" s="106"/>
      <c r="D2" s="106"/>
      <c r="E2" s="107"/>
    </row>
    <row r="3" spans="1:14">
      <c r="A3" s="17" t="str">
        <f>Clases!$B$1</f>
        <v>Estereotipo</v>
      </c>
      <c r="B3" s="53" t="s">
        <v>48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Clases!C25</f>
        <v>Enumeración que representa el tipo de mensaje del sistema: error, éxito, advertencia, información o depuración.</v>
      </c>
      <c r="C4" s="108"/>
      <c r="D4" s="108"/>
      <c r="E4" s="109"/>
    </row>
    <row r="5" spans="1:14">
      <c r="A5" s="17" t="s">
        <v>61</v>
      </c>
      <c r="B5" s="53" t="s">
        <v>9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341</v>
      </c>
      <c r="B9" s="53" t="s">
        <v>410</v>
      </c>
      <c r="C9" s="108"/>
      <c r="D9" s="109"/>
      <c r="E9" s="42" t="str">
        <f>HYPERLINK("#'"&amp;F9&amp;"'!A1", F9)</f>
        <v>Message</v>
      </c>
      <c r="F9" s="44" t="s">
        <v>45</v>
      </c>
    </row>
    <row r="10" spans="1:14">
      <c r="A10" s="52" t="s">
        <v>72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7"/>
    </row>
    <row r="11" spans="1:14">
      <c r="A11" s="56" t="s">
        <v>4</v>
      </c>
      <c r="B11" s="55" t="s">
        <v>73</v>
      </c>
      <c r="C11" s="55" t="s">
        <v>74</v>
      </c>
      <c r="D11" s="109"/>
      <c r="E11" s="55" t="s">
        <v>75</v>
      </c>
      <c r="F11" s="55" t="s">
        <v>76</v>
      </c>
      <c r="G11" s="55" t="s">
        <v>77</v>
      </c>
      <c r="H11" s="111"/>
      <c r="I11" s="112"/>
      <c r="J11" s="55" t="s">
        <v>78</v>
      </c>
      <c r="K11" s="111"/>
      <c r="L11" s="111"/>
      <c r="M11" s="111"/>
      <c r="N11" s="112"/>
    </row>
    <row r="12" spans="1:14">
      <c r="A12" s="113"/>
      <c r="B12" s="114"/>
      <c r="C12" s="10" t="s">
        <v>74</v>
      </c>
      <c r="D12" s="10" t="s">
        <v>79</v>
      </c>
      <c r="E12" s="114"/>
      <c r="F12" s="114"/>
      <c r="G12" s="115"/>
      <c r="H12" s="116"/>
      <c r="I12" s="117"/>
      <c r="J12" s="115"/>
      <c r="K12" s="116"/>
      <c r="L12" s="116"/>
      <c r="M12" s="116"/>
      <c r="N12" s="117"/>
    </row>
    <row r="13" spans="1:14">
      <c r="A13" s="6" t="s">
        <v>62</v>
      </c>
      <c r="B13" s="3" t="s">
        <v>411</v>
      </c>
      <c r="C13" s="3" t="s">
        <v>359</v>
      </c>
      <c r="D13" s="3"/>
      <c r="E13" s="3" t="s">
        <v>360</v>
      </c>
      <c r="F13" s="3" t="s">
        <v>361</v>
      </c>
      <c r="G13" s="53" t="s">
        <v>412</v>
      </c>
      <c r="H13" s="108"/>
      <c r="I13" s="109"/>
      <c r="J13" s="53" t="s">
        <v>413</v>
      </c>
      <c r="K13" s="108"/>
      <c r="L13" s="108"/>
      <c r="M13" s="108"/>
      <c r="N13" s="109"/>
    </row>
    <row r="14" spans="1:14">
      <c r="A14" s="6" t="s">
        <v>62</v>
      </c>
      <c r="B14" s="3" t="s">
        <v>414</v>
      </c>
      <c r="C14" s="3" t="s">
        <v>359</v>
      </c>
      <c r="D14" s="3"/>
      <c r="E14" s="3" t="s">
        <v>360</v>
      </c>
      <c r="F14" s="3" t="s">
        <v>361</v>
      </c>
      <c r="G14" s="53" t="s">
        <v>415</v>
      </c>
      <c r="H14" s="108"/>
      <c r="I14" s="109"/>
      <c r="J14" s="53" t="s">
        <v>416</v>
      </c>
      <c r="K14" s="108"/>
      <c r="L14" s="108"/>
      <c r="M14" s="108"/>
      <c r="N14" s="109"/>
    </row>
    <row r="15" spans="1:14">
      <c r="A15" s="6" t="s">
        <v>62</v>
      </c>
      <c r="B15" s="3" t="s">
        <v>417</v>
      </c>
      <c r="C15" s="3" t="s">
        <v>359</v>
      </c>
      <c r="D15" s="3"/>
      <c r="E15" s="3" t="s">
        <v>360</v>
      </c>
      <c r="F15" s="3" t="s">
        <v>361</v>
      </c>
      <c r="G15" s="53" t="s">
        <v>418</v>
      </c>
      <c r="H15" s="108"/>
      <c r="I15" s="109"/>
      <c r="J15" s="53" t="s">
        <v>419</v>
      </c>
      <c r="K15" s="108"/>
      <c r="L15" s="108"/>
      <c r="M15" s="108"/>
      <c r="N15" s="109"/>
    </row>
    <row r="16" spans="1:14">
      <c r="A16" s="6" t="s">
        <v>62</v>
      </c>
      <c r="B16" s="3" t="s">
        <v>420</v>
      </c>
      <c r="C16" s="3" t="s">
        <v>359</v>
      </c>
      <c r="D16" s="3"/>
      <c r="E16" s="3" t="s">
        <v>360</v>
      </c>
      <c r="F16" s="3" t="s">
        <v>361</v>
      </c>
      <c r="G16" s="53" t="s">
        <v>421</v>
      </c>
      <c r="H16" s="108"/>
      <c r="I16" s="109"/>
      <c r="J16" s="53" t="s">
        <v>422</v>
      </c>
      <c r="K16" s="108"/>
      <c r="L16" s="108"/>
      <c r="M16" s="108"/>
      <c r="N16" s="109"/>
    </row>
    <row r="17" spans="1:14">
      <c r="A17" s="6" t="s">
        <v>62</v>
      </c>
      <c r="B17" s="37" t="s">
        <v>423</v>
      </c>
      <c r="C17" s="3" t="s">
        <v>359</v>
      </c>
      <c r="D17" s="37"/>
      <c r="E17" s="3" t="s">
        <v>360</v>
      </c>
      <c r="F17" s="3" t="s">
        <v>361</v>
      </c>
      <c r="G17" s="35" t="s">
        <v>424</v>
      </c>
      <c r="H17" s="25"/>
      <c r="I17" s="25"/>
      <c r="J17" s="35" t="s">
        <v>425</v>
      </c>
      <c r="K17" s="25"/>
      <c r="L17" s="25"/>
      <c r="M17" s="25"/>
      <c r="N17" s="26"/>
    </row>
    <row r="18" spans="1:14">
      <c r="A18" s="64" t="s">
        <v>97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/>
    </row>
    <row r="19" spans="1:14">
      <c r="A19" s="62" t="s">
        <v>4</v>
      </c>
      <c r="B19" s="54" t="s">
        <v>73</v>
      </c>
      <c r="C19" s="54" t="s">
        <v>98</v>
      </c>
      <c r="D19" s="54" t="s">
        <v>99</v>
      </c>
      <c r="E19" s="54" t="s">
        <v>100</v>
      </c>
      <c r="F19" s="108"/>
      <c r="G19" s="108"/>
      <c r="H19" s="108"/>
      <c r="I19" s="108"/>
      <c r="J19" s="108"/>
      <c r="K19" s="108"/>
      <c r="L19" s="109"/>
      <c r="M19" s="54" t="s">
        <v>101</v>
      </c>
      <c r="N19" s="112"/>
    </row>
    <row r="20" spans="1:14">
      <c r="A20" s="113"/>
      <c r="B20" s="114"/>
      <c r="C20" s="114"/>
      <c r="D20" s="114"/>
      <c r="E20" s="11" t="s">
        <v>73</v>
      </c>
      <c r="F20" s="11" t="s">
        <v>74</v>
      </c>
      <c r="G20" s="11" t="s">
        <v>79</v>
      </c>
      <c r="H20" s="11" t="s">
        <v>102</v>
      </c>
      <c r="I20" s="11" t="s">
        <v>75</v>
      </c>
      <c r="J20" s="54" t="s">
        <v>99</v>
      </c>
      <c r="K20" s="108"/>
      <c r="L20" s="109"/>
      <c r="M20" s="115"/>
      <c r="N20" s="117"/>
    </row>
    <row r="21" spans="1:14">
      <c r="A21" s="6" t="s">
        <v>10</v>
      </c>
      <c r="B21" s="3"/>
      <c r="C21" s="3"/>
      <c r="D21" s="3" t="s">
        <v>373</v>
      </c>
      <c r="E21" s="3"/>
      <c r="F21" s="3"/>
      <c r="G21" s="3"/>
      <c r="H21" s="3"/>
      <c r="I21" s="3"/>
      <c r="J21" s="53"/>
      <c r="K21" s="108"/>
      <c r="L21" s="109"/>
      <c r="M21" s="63"/>
      <c r="N21" s="110"/>
    </row>
    <row r="22" spans="1:14">
      <c r="A22" s="61" t="s">
        <v>104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9"/>
    </row>
    <row r="23" spans="1:14">
      <c r="A23" s="65" t="s">
        <v>4</v>
      </c>
      <c r="B23" s="66" t="s">
        <v>73</v>
      </c>
      <c r="C23" s="66" t="s">
        <v>106</v>
      </c>
      <c r="D23" s="66" t="s">
        <v>107</v>
      </c>
      <c r="E23" s="66" t="s">
        <v>99</v>
      </c>
      <c r="F23" s="66" t="s">
        <v>100</v>
      </c>
      <c r="G23" s="108"/>
      <c r="H23" s="108"/>
      <c r="I23" s="108"/>
      <c r="J23" s="108"/>
      <c r="K23" s="109"/>
      <c r="L23" s="66" t="s">
        <v>108</v>
      </c>
      <c r="M23" s="109"/>
      <c r="N23" s="60" t="s">
        <v>101</v>
      </c>
    </row>
    <row r="24" spans="1:14">
      <c r="A24" s="113"/>
      <c r="B24" s="114"/>
      <c r="C24" s="114"/>
      <c r="D24" s="114"/>
      <c r="E24" s="114"/>
      <c r="F24" s="12" t="s">
        <v>73</v>
      </c>
      <c r="G24" s="12" t="s">
        <v>74</v>
      </c>
      <c r="H24" s="12" t="s">
        <v>79</v>
      </c>
      <c r="I24" s="12" t="s">
        <v>102</v>
      </c>
      <c r="J24" s="12" t="s">
        <v>75</v>
      </c>
      <c r="K24" s="12" t="s">
        <v>99</v>
      </c>
      <c r="L24" s="12" t="s">
        <v>74</v>
      </c>
      <c r="M24" s="12" t="s">
        <v>79</v>
      </c>
      <c r="N24" s="118"/>
    </row>
    <row r="25" spans="1:14">
      <c r="A25" s="6" t="s">
        <v>10</v>
      </c>
      <c r="B25" s="3"/>
      <c r="C25" s="3"/>
      <c r="D25" s="3"/>
      <c r="E25" s="3" t="s">
        <v>387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76" t="s">
        <v>110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9"/>
    </row>
    <row r="27" spans="1:14">
      <c r="A27" s="77" t="s">
        <v>4</v>
      </c>
      <c r="B27" s="70" t="s">
        <v>73</v>
      </c>
      <c r="C27" s="70" t="s">
        <v>111</v>
      </c>
      <c r="D27" s="70" t="s">
        <v>107</v>
      </c>
      <c r="E27" s="70" t="s">
        <v>99</v>
      </c>
      <c r="F27" s="70" t="s">
        <v>100</v>
      </c>
      <c r="G27" s="108"/>
      <c r="H27" s="108"/>
      <c r="I27" s="108"/>
      <c r="J27" s="108"/>
      <c r="K27" s="109"/>
      <c r="L27" s="70" t="s">
        <v>108</v>
      </c>
      <c r="M27" s="109"/>
      <c r="N27" s="75" t="s">
        <v>101</v>
      </c>
    </row>
    <row r="28" spans="1:14">
      <c r="A28" s="113"/>
      <c r="B28" s="114"/>
      <c r="C28" s="114"/>
      <c r="D28" s="114"/>
      <c r="E28" s="114"/>
      <c r="F28" s="13" t="s">
        <v>73</v>
      </c>
      <c r="G28" s="13" t="s">
        <v>74</v>
      </c>
      <c r="H28" s="13" t="s">
        <v>79</v>
      </c>
      <c r="I28" s="13" t="s">
        <v>102</v>
      </c>
      <c r="J28" s="13" t="s">
        <v>75</v>
      </c>
      <c r="K28" s="13" t="s">
        <v>99</v>
      </c>
      <c r="L28" s="13" t="s">
        <v>74</v>
      </c>
      <c r="M28" s="13" t="s">
        <v>79</v>
      </c>
      <c r="N28" s="118"/>
    </row>
    <row r="29" spans="1:14">
      <c r="A29" s="6" t="s">
        <v>10</v>
      </c>
      <c r="B29" s="3"/>
      <c r="C29" s="3"/>
      <c r="D29" s="3"/>
      <c r="E29" s="3" t="s">
        <v>426</v>
      </c>
      <c r="F29" s="3"/>
      <c r="G29" s="3"/>
      <c r="H29" s="3"/>
      <c r="I29" s="3"/>
      <c r="J29" s="3"/>
      <c r="K29" s="3"/>
      <c r="L29" s="3"/>
      <c r="M29" s="3"/>
      <c r="N29" s="7"/>
    </row>
  </sheetData>
  <mergeCells count="53">
    <mergeCell ref="A27:A28"/>
    <mergeCell ref="B2:E2"/>
    <mergeCell ref="N23:N24"/>
    <mergeCell ref="A22:N22"/>
    <mergeCell ref="A19:A20"/>
    <mergeCell ref="D27:D28"/>
    <mergeCell ref="F27:K27"/>
    <mergeCell ref="C19:C20"/>
    <mergeCell ref="D19:D20"/>
    <mergeCell ref="E11:E12"/>
    <mergeCell ref="G16:I16"/>
    <mergeCell ref="C23:C24"/>
    <mergeCell ref="A26:N26"/>
    <mergeCell ref="A1:E1"/>
    <mergeCell ref="A10:N10"/>
    <mergeCell ref="B5:E5"/>
    <mergeCell ref="J20:L20"/>
    <mergeCell ref="G11:I12"/>
    <mergeCell ref="G14:I14"/>
    <mergeCell ref="G13:I13"/>
    <mergeCell ref="B4:E4"/>
    <mergeCell ref="J11:N12"/>
    <mergeCell ref="A11:A12"/>
    <mergeCell ref="J14:N14"/>
    <mergeCell ref="A7:E7"/>
    <mergeCell ref="B9:D9"/>
    <mergeCell ref="B3:E3"/>
    <mergeCell ref="E19:L19"/>
    <mergeCell ref="B6:E6"/>
    <mergeCell ref="C27:C28"/>
    <mergeCell ref="J13:N13"/>
    <mergeCell ref="E27:E28"/>
    <mergeCell ref="B27:B28"/>
    <mergeCell ref="L23:M23"/>
    <mergeCell ref="N27:N28"/>
    <mergeCell ref="B23:B24"/>
    <mergeCell ref="J21:L21"/>
    <mergeCell ref="D23:D24"/>
    <mergeCell ref="B19:B20"/>
    <mergeCell ref="A18:N18"/>
    <mergeCell ref="J16:N16"/>
    <mergeCell ref="F23:K23"/>
    <mergeCell ref="A23:A24"/>
    <mergeCell ref="L27:M27"/>
    <mergeCell ref="M19:N20"/>
    <mergeCell ref="B11:B12"/>
    <mergeCell ref="B8:D8"/>
    <mergeCell ref="G15:I15"/>
    <mergeCell ref="M21:N21"/>
    <mergeCell ref="E23:E24"/>
    <mergeCell ref="F11:F12"/>
    <mergeCell ref="C11:D11"/>
    <mergeCell ref="J15:N15"/>
  </mergeCells>
  <hyperlinks>
    <hyperlink ref="A1" location="'Clases'!A1" display="&lt;-Volver al inicio" xr:uid="{00000000-0004-0000-1900-000000000000}"/>
    <hyperlink ref="E9" location="ClaseDos!A1" display="ClaseDos!A1" xr:uid="{00000000-0004-0000-19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0"/>
  <sheetViews>
    <sheetView topLeftCell="D10" workbookViewId="0">
      <selection activeCell="B9" sqref="B9:D9"/>
    </sheetView>
  </sheetViews>
  <sheetFormatPr defaultColWidth="19.7109375" defaultRowHeight="15"/>
  <cols>
    <col min="1" max="1" width="28.7109375" style="1" customWidth="1"/>
    <col min="2" max="2" width="24.140625" style="1" customWidth="1"/>
    <col min="3" max="3" width="27.140625" style="1" bestFit="1" customWidth="1"/>
    <col min="4" max="4" width="34.5703125" style="1" customWidth="1"/>
    <col min="5" max="5" width="63" style="1" bestFit="1" customWidth="1"/>
    <col min="6" max="6" width="27.140625" style="1" bestFit="1" customWidth="1"/>
    <col min="7" max="7" width="17.42578125" style="1" bestFit="1" customWidth="1"/>
    <col min="8" max="8" width="20.140625" style="1" bestFit="1" customWidth="1"/>
    <col min="9" max="9" width="24.42578125" style="1" customWidth="1"/>
    <col min="10" max="10" width="34.140625" style="1" bestFit="1" customWidth="1"/>
    <col min="11" max="11" width="30.42578125" style="1" bestFit="1" customWidth="1"/>
    <col min="12" max="12" width="17.42578125" style="1" bestFit="1" customWidth="1"/>
    <col min="13" max="13" width="10" style="1" bestFit="1" customWidth="1"/>
    <col min="14" max="14" width="34.85546875" style="1" customWidth="1"/>
    <col min="15" max="15" width="19.7109375" style="1" customWidth="1"/>
    <col min="16" max="16384" width="19.7109375" style="1"/>
  </cols>
  <sheetData>
    <row r="1" spans="1:14" ht="15.75" customHeight="1" thickBot="1">
      <c r="A1" s="51" t="s">
        <v>60</v>
      </c>
      <c r="B1" s="105"/>
      <c r="C1" s="105"/>
      <c r="D1" s="105"/>
      <c r="E1" s="105"/>
    </row>
    <row r="2" spans="1:14" ht="13.5" customHeight="1">
      <c r="A2" s="16" t="str">
        <f>Clases!$A$1</f>
        <v>Clase</v>
      </c>
      <c r="B2" s="59" t="str">
        <f>Clases!A26</f>
        <v>SummaryPeriodType</v>
      </c>
      <c r="C2" s="106"/>
      <c r="D2" s="106"/>
      <c r="E2" s="107"/>
    </row>
    <row r="3" spans="1:14">
      <c r="A3" s="17" t="str">
        <f>Clases!$B$1</f>
        <v>Estereotipo</v>
      </c>
      <c r="B3" s="53" t="s">
        <v>48</v>
      </c>
      <c r="C3" s="108"/>
      <c r="D3" s="108"/>
      <c r="E3" s="109"/>
    </row>
    <row r="4" spans="1:14">
      <c r="A4" s="17" t="str">
        <f>Clases!$C$1</f>
        <v>Desripción</v>
      </c>
      <c r="B4" s="53" t="str">
        <f>Clases!C26</f>
        <v>Enumeración que representa los tipos de período para los resúmenes de vuelo: mensual, trimestral, anual, primera quincena o segunda quincena.</v>
      </c>
      <c r="C4" s="108"/>
      <c r="D4" s="108"/>
      <c r="E4" s="109"/>
    </row>
    <row r="5" spans="1:14">
      <c r="A5" s="17" t="s">
        <v>61</v>
      </c>
      <c r="B5" s="53" t="s">
        <v>62</v>
      </c>
      <c r="C5" s="108"/>
      <c r="D5" s="108"/>
      <c r="E5" s="109"/>
    </row>
    <row r="6" spans="1:14">
      <c r="A6" s="17" t="s">
        <v>63</v>
      </c>
      <c r="B6" s="63" t="s">
        <v>10</v>
      </c>
      <c r="C6" s="108"/>
      <c r="D6" s="108"/>
      <c r="E6" s="110"/>
    </row>
    <row r="7" spans="1:14">
      <c r="A7" s="57" t="s">
        <v>64</v>
      </c>
      <c r="B7" s="108"/>
      <c r="C7" s="108"/>
      <c r="D7" s="108"/>
      <c r="E7" s="10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65</v>
      </c>
      <c r="B8" s="58" t="s">
        <v>66</v>
      </c>
      <c r="C8" s="108"/>
      <c r="D8" s="109"/>
      <c r="E8" s="5" t="s">
        <v>67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356</v>
      </c>
      <c r="B9" s="53" t="s">
        <v>357</v>
      </c>
      <c r="C9" s="108"/>
      <c r="D9" s="109"/>
      <c r="E9" s="42" t="str">
        <f>HYPERLINK("#'"&amp;F9&amp;"'!A1", F9)</f>
        <v>EmployeeFlightSummary</v>
      </c>
      <c r="F9" s="44" t="s">
        <v>35</v>
      </c>
    </row>
    <row r="10" spans="1:14" ht="15.75" customHeight="1" thickBot="1">
      <c r="A10" s="9" t="s">
        <v>356</v>
      </c>
      <c r="B10" s="87" t="s">
        <v>71</v>
      </c>
      <c r="C10" s="111"/>
      <c r="D10" s="112"/>
      <c r="E10" s="42" t="str">
        <f>HYPERLINK("#'"&amp;F10&amp;"'!A1", F10)</f>
        <v>PeriodInfo</v>
      </c>
      <c r="F10" s="44" t="s">
        <v>43</v>
      </c>
    </row>
    <row r="11" spans="1:14">
      <c r="A11" s="52" t="s">
        <v>72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7"/>
    </row>
    <row r="12" spans="1:14">
      <c r="A12" s="56" t="s">
        <v>4</v>
      </c>
      <c r="B12" s="55" t="s">
        <v>73</v>
      </c>
      <c r="C12" s="55" t="s">
        <v>74</v>
      </c>
      <c r="D12" s="109"/>
      <c r="E12" s="55" t="s">
        <v>75</v>
      </c>
      <c r="F12" s="55" t="s">
        <v>76</v>
      </c>
      <c r="G12" s="55" t="s">
        <v>77</v>
      </c>
      <c r="H12" s="111"/>
      <c r="I12" s="112"/>
      <c r="J12" s="55" t="s">
        <v>78</v>
      </c>
      <c r="K12" s="111"/>
      <c r="L12" s="111"/>
      <c r="M12" s="111"/>
      <c r="N12" s="112"/>
    </row>
    <row r="13" spans="1:14">
      <c r="A13" s="113"/>
      <c r="B13" s="114"/>
      <c r="C13" s="10" t="s">
        <v>74</v>
      </c>
      <c r="D13" s="10" t="s">
        <v>79</v>
      </c>
      <c r="E13" s="114"/>
      <c r="F13" s="114"/>
      <c r="G13" s="115"/>
      <c r="H13" s="116"/>
      <c r="I13" s="117"/>
      <c r="J13" s="115"/>
      <c r="K13" s="116"/>
      <c r="L13" s="116"/>
      <c r="M13" s="116"/>
      <c r="N13" s="117"/>
    </row>
    <row r="14" spans="1:14">
      <c r="A14" s="6" t="s">
        <v>62</v>
      </c>
      <c r="B14" s="3" t="s">
        <v>427</v>
      </c>
      <c r="C14" s="3" t="s">
        <v>359</v>
      </c>
      <c r="D14" s="3"/>
      <c r="E14" s="3" t="s">
        <v>428</v>
      </c>
      <c r="F14" s="3" t="s">
        <v>361</v>
      </c>
      <c r="G14" s="53" t="s">
        <v>429</v>
      </c>
      <c r="H14" s="108"/>
      <c r="I14" s="109"/>
      <c r="J14" s="53" t="s">
        <v>430</v>
      </c>
      <c r="K14" s="108"/>
      <c r="L14" s="108"/>
      <c r="M14" s="108"/>
      <c r="N14" s="109"/>
    </row>
    <row r="15" spans="1:14">
      <c r="A15" s="6" t="s">
        <v>62</v>
      </c>
      <c r="B15" s="3" t="s">
        <v>431</v>
      </c>
      <c r="C15" s="3" t="s">
        <v>359</v>
      </c>
      <c r="D15" s="3"/>
      <c r="E15" s="3" t="s">
        <v>428</v>
      </c>
      <c r="F15" s="3" t="s">
        <v>361</v>
      </c>
      <c r="G15" s="53" t="s">
        <v>432</v>
      </c>
      <c r="H15" s="108"/>
      <c r="I15" s="109"/>
      <c r="J15" s="53" t="s">
        <v>433</v>
      </c>
      <c r="K15" s="108"/>
      <c r="L15" s="108"/>
      <c r="M15" s="108"/>
      <c r="N15" s="109"/>
    </row>
    <row r="16" spans="1:14">
      <c r="A16" s="6" t="s">
        <v>62</v>
      </c>
      <c r="B16" s="3" t="s">
        <v>434</v>
      </c>
      <c r="C16" s="3" t="s">
        <v>359</v>
      </c>
      <c r="D16" s="3"/>
      <c r="E16" s="3" t="s">
        <v>428</v>
      </c>
      <c r="F16" s="3" t="s">
        <v>361</v>
      </c>
      <c r="G16" s="53" t="s">
        <v>435</v>
      </c>
      <c r="H16" s="108"/>
      <c r="I16" s="109"/>
      <c r="J16" s="53" t="s">
        <v>436</v>
      </c>
      <c r="K16" s="108"/>
      <c r="L16" s="108"/>
      <c r="M16" s="108"/>
      <c r="N16" s="109"/>
    </row>
    <row r="17" spans="1:14">
      <c r="A17" s="6" t="s">
        <v>62</v>
      </c>
      <c r="B17" s="3" t="s">
        <v>437</v>
      </c>
      <c r="C17" s="3" t="s">
        <v>359</v>
      </c>
      <c r="D17" s="3"/>
      <c r="E17" s="3" t="s">
        <v>428</v>
      </c>
      <c r="F17" s="3" t="s">
        <v>361</v>
      </c>
      <c r="G17" s="53" t="s">
        <v>438</v>
      </c>
      <c r="H17" s="108"/>
      <c r="I17" s="109"/>
      <c r="J17" s="53" t="s">
        <v>439</v>
      </c>
      <c r="K17" s="108"/>
      <c r="L17" s="108"/>
      <c r="M17" s="108"/>
      <c r="N17" s="109"/>
    </row>
    <row r="18" spans="1:14">
      <c r="A18" s="6" t="s">
        <v>62</v>
      </c>
      <c r="B18" s="37" t="s">
        <v>440</v>
      </c>
      <c r="C18" s="3" t="s">
        <v>359</v>
      </c>
      <c r="D18" s="37"/>
      <c r="E18" s="3" t="s">
        <v>428</v>
      </c>
      <c r="F18" s="3" t="s">
        <v>361</v>
      </c>
      <c r="G18" s="67" t="s">
        <v>441</v>
      </c>
      <c r="H18" s="68"/>
      <c r="I18" s="68"/>
      <c r="J18" s="35" t="s">
        <v>442</v>
      </c>
      <c r="K18" s="25"/>
      <c r="L18" s="25"/>
      <c r="M18" s="25"/>
      <c r="N18" s="26"/>
    </row>
    <row r="19" spans="1:14">
      <c r="A19" s="64" t="s">
        <v>97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9"/>
    </row>
    <row r="20" spans="1:14">
      <c r="A20" s="62" t="s">
        <v>4</v>
      </c>
      <c r="B20" s="54" t="s">
        <v>73</v>
      </c>
      <c r="C20" s="54" t="s">
        <v>98</v>
      </c>
      <c r="D20" s="54" t="s">
        <v>99</v>
      </c>
      <c r="E20" s="54" t="s">
        <v>100</v>
      </c>
      <c r="F20" s="108"/>
      <c r="G20" s="108"/>
      <c r="H20" s="108"/>
      <c r="I20" s="108"/>
      <c r="J20" s="108"/>
      <c r="K20" s="108"/>
      <c r="L20" s="109"/>
      <c r="M20" s="54" t="s">
        <v>101</v>
      </c>
      <c r="N20" s="112"/>
    </row>
    <row r="21" spans="1:14">
      <c r="A21" s="113"/>
      <c r="B21" s="114"/>
      <c r="C21" s="114"/>
      <c r="D21" s="114"/>
      <c r="E21" s="11" t="s">
        <v>73</v>
      </c>
      <c r="F21" s="11" t="s">
        <v>74</v>
      </c>
      <c r="G21" s="11" t="s">
        <v>79</v>
      </c>
      <c r="H21" s="11" t="s">
        <v>102</v>
      </c>
      <c r="I21" s="11" t="s">
        <v>75</v>
      </c>
      <c r="J21" s="54" t="s">
        <v>99</v>
      </c>
      <c r="K21" s="108"/>
      <c r="L21" s="109"/>
      <c r="M21" s="115"/>
      <c r="N21" s="117"/>
    </row>
    <row r="22" spans="1:14">
      <c r="A22" s="6" t="s">
        <v>10</v>
      </c>
      <c r="B22" s="3"/>
      <c r="C22" s="3"/>
      <c r="D22" s="3" t="s">
        <v>373</v>
      </c>
      <c r="E22" s="3"/>
      <c r="F22" s="3"/>
      <c r="G22" s="3"/>
      <c r="H22" s="3"/>
      <c r="I22" s="3"/>
      <c r="J22" s="53"/>
      <c r="K22" s="108"/>
      <c r="L22" s="109"/>
      <c r="M22" s="63"/>
      <c r="N22" s="110"/>
    </row>
    <row r="23" spans="1:14">
      <c r="A23" s="61" t="s">
        <v>104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/>
    </row>
    <row r="24" spans="1:14">
      <c r="A24" s="65" t="s">
        <v>4</v>
      </c>
      <c r="B24" s="66" t="s">
        <v>73</v>
      </c>
      <c r="C24" s="66" t="s">
        <v>106</v>
      </c>
      <c r="D24" s="66" t="s">
        <v>107</v>
      </c>
      <c r="E24" s="66" t="s">
        <v>99</v>
      </c>
      <c r="F24" s="66" t="s">
        <v>100</v>
      </c>
      <c r="G24" s="108"/>
      <c r="H24" s="108"/>
      <c r="I24" s="108"/>
      <c r="J24" s="108"/>
      <c r="K24" s="109"/>
      <c r="L24" s="66" t="s">
        <v>108</v>
      </c>
      <c r="M24" s="109"/>
      <c r="N24" s="60" t="s">
        <v>101</v>
      </c>
    </row>
    <row r="25" spans="1:14">
      <c r="A25" s="113"/>
      <c r="B25" s="114"/>
      <c r="C25" s="114"/>
      <c r="D25" s="114"/>
      <c r="E25" s="114"/>
      <c r="F25" s="12" t="s">
        <v>73</v>
      </c>
      <c r="G25" s="12" t="s">
        <v>74</v>
      </c>
      <c r="H25" s="12" t="s">
        <v>79</v>
      </c>
      <c r="I25" s="12" t="s">
        <v>102</v>
      </c>
      <c r="J25" s="12" t="s">
        <v>75</v>
      </c>
      <c r="K25" s="12" t="s">
        <v>99</v>
      </c>
      <c r="L25" s="12" t="s">
        <v>74</v>
      </c>
      <c r="M25" s="12" t="s">
        <v>79</v>
      </c>
      <c r="N25" s="118"/>
    </row>
    <row r="26" spans="1:14">
      <c r="A26" s="6" t="s">
        <v>10</v>
      </c>
      <c r="B26" s="3"/>
      <c r="C26" s="3"/>
      <c r="D26" s="3"/>
      <c r="E26" s="3" t="s">
        <v>387</v>
      </c>
      <c r="F26" s="3"/>
      <c r="G26" s="3"/>
      <c r="H26" s="3"/>
      <c r="I26" s="3"/>
      <c r="J26" s="3"/>
      <c r="K26" s="3"/>
      <c r="L26" s="3"/>
      <c r="M26" s="3"/>
      <c r="N26" s="7"/>
    </row>
    <row r="27" spans="1:14">
      <c r="A27" s="76" t="s">
        <v>110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/>
    </row>
    <row r="28" spans="1:14">
      <c r="A28" s="77" t="s">
        <v>4</v>
      </c>
      <c r="B28" s="70" t="s">
        <v>73</v>
      </c>
      <c r="C28" s="70" t="s">
        <v>111</v>
      </c>
      <c r="D28" s="70" t="s">
        <v>107</v>
      </c>
      <c r="E28" s="70" t="s">
        <v>99</v>
      </c>
      <c r="F28" s="70" t="s">
        <v>100</v>
      </c>
      <c r="G28" s="108"/>
      <c r="H28" s="108"/>
      <c r="I28" s="108"/>
      <c r="J28" s="108"/>
      <c r="K28" s="109"/>
      <c r="L28" s="70" t="s">
        <v>108</v>
      </c>
      <c r="M28" s="109"/>
      <c r="N28" s="75" t="s">
        <v>101</v>
      </c>
    </row>
    <row r="29" spans="1:14">
      <c r="A29" s="113"/>
      <c r="B29" s="114"/>
      <c r="C29" s="114"/>
      <c r="D29" s="114"/>
      <c r="E29" s="114"/>
      <c r="F29" s="13" t="s">
        <v>73</v>
      </c>
      <c r="G29" s="13" t="s">
        <v>74</v>
      </c>
      <c r="H29" s="13" t="s">
        <v>79</v>
      </c>
      <c r="I29" s="13" t="s">
        <v>102</v>
      </c>
      <c r="J29" s="13" t="s">
        <v>75</v>
      </c>
      <c r="K29" s="13" t="s">
        <v>99</v>
      </c>
      <c r="L29" s="13" t="s">
        <v>74</v>
      </c>
      <c r="M29" s="13" t="s">
        <v>79</v>
      </c>
      <c r="N29" s="118"/>
    </row>
    <row r="30" spans="1:14">
      <c r="A30" s="6" t="s">
        <v>10</v>
      </c>
      <c r="B30" s="3"/>
      <c r="C30" s="3"/>
      <c r="D30" s="3"/>
      <c r="E30" s="3" t="s">
        <v>426</v>
      </c>
      <c r="F30" s="3"/>
      <c r="G30" s="3"/>
      <c r="H30" s="3"/>
      <c r="I30" s="3"/>
      <c r="J30" s="3"/>
      <c r="K30" s="3"/>
      <c r="L30" s="3"/>
      <c r="M30" s="3"/>
      <c r="N30" s="7"/>
    </row>
  </sheetData>
  <mergeCells count="55">
    <mergeCell ref="B2:E2"/>
    <mergeCell ref="N24:N25"/>
    <mergeCell ref="A23:N23"/>
    <mergeCell ref="A20:A21"/>
    <mergeCell ref="D28:D29"/>
    <mergeCell ref="F28:K28"/>
    <mergeCell ref="C20:C21"/>
    <mergeCell ref="D20:D21"/>
    <mergeCell ref="E12:E13"/>
    <mergeCell ref="G17:I17"/>
    <mergeCell ref="C24:C25"/>
    <mergeCell ref="A27:N27"/>
    <mergeCell ref="B6:E6"/>
    <mergeCell ref="F12:F13"/>
    <mergeCell ref="C28:C29"/>
    <mergeCell ref="A1:E1"/>
    <mergeCell ref="A11:N11"/>
    <mergeCell ref="B5:E5"/>
    <mergeCell ref="J21:L21"/>
    <mergeCell ref="G12:I13"/>
    <mergeCell ref="G15:I15"/>
    <mergeCell ref="B10:D10"/>
    <mergeCell ref="G14:I14"/>
    <mergeCell ref="B4:E4"/>
    <mergeCell ref="J12:N13"/>
    <mergeCell ref="A12:A13"/>
    <mergeCell ref="J15:N15"/>
    <mergeCell ref="A7:E7"/>
    <mergeCell ref="B9:D9"/>
    <mergeCell ref="B3:E3"/>
    <mergeCell ref="E20:L20"/>
    <mergeCell ref="E28:E29"/>
    <mergeCell ref="B28:B29"/>
    <mergeCell ref="L24:M24"/>
    <mergeCell ref="N28:N29"/>
    <mergeCell ref="B24:B25"/>
    <mergeCell ref="D24:D25"/>
    <mergeCell ref="L28:M28"/>
    <mergeCell ref="M20:N21"/>
    <mergeCell ref="J17:N17"/>
    <mergeCell ref="F24:K24"/>
    <mergeCell ref="J14:N14"/>
    <mergeCell ref="J22:L22"/>
    <mergeCell ref="A19:N19"/>
    <mergeCell ref="A24:A25"/>
    <mergeCell ref="A28:A29"/>
    <mergeCell ref="B12:B13"/>
    <mergeCell ref="B8:D8"/>
    <mergeCell ref="G16:I16"/>
    <mergeCell ref="M22:N22"/>
    <mergeCell ref="E24:E25"/>
    <mergeCell ref="G18:I18"/>
    <mergeCell ref="J16:N16"/>
    <mergeCell ref="C12:D12"/>
    <mergeCell ref="B20:B21"/>
  </mergeCells>
  <hyperlinks>
    <hyperlink ref="A1" location="'Clases'!A1" display="&lt;-Volver al inicio" xr:uid="{00000000-0004-0000-1A00-000000000000}"/>
    <hyperlink ref="E9" location="ClaseDos!A1" display="ClaseDos!A1" xr:uid="{00000000-0004-0000-1A00-000001000000}"/>
    <hyperlink ref="E10" location="ClaseDos!A1" display="ClaseDos!A1" xr:uid="{B22A8E05-35B6-4243-9E0A-47FD3EC5F00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3"/>
  <sheetViews>
    <sheetView topLeftCell="B1" workbookViewId="0">
      <selection activeCell="L3" sqref="L3"/>
    </sheetView>
  </sheetViews>
  <sheetFormatPr defaultColWidth="11.42578125" defaultRowHeight="15"/>
  <cols>
    <col min="1" max="1" width="14.140625" bestFit="1" customWidth="1"/>
    <col min="2" max="2" width="12.42578125" bestFit="1" customWidth="1"/>
    <col min="3" max="3" width="13.28515625" bestFit="1" customWidth="1"/>
    <col min="4" max="4" width="31.7109375" bestFit="1" customWidth="1"/>
    <col min="5" max="5" width="14.28515625" bestFit="1" customWidth="1"/>
    <col min="6" max="6" width="31.7109375" bestFit="1" customWidth="1"/>
    <col min="7" max="7" width="16.42578125" bestFit="1" customWidth="1"/>
    <col min="9" max="9" width="15.28515625" bestFit="1" customWidth="1"/>
    <col min="12" max="12" width="16.42578125" bestFit="1" customWidth="1"/>
  </cols>
  <sheetData>
    <row r="1" spans="1:12">
      <c r="A1" t="s">
        <v>2</v>
      </c>
      <c r="B1" t="s">
        <v>65</v>
      </c>
      <c r="C1" t="s">
        <v>66</v>
      </c>
      <c r="D1" t="s">
        <v>443</v>
      </c>
      <c r="E1" t="s">
        <v>444</v>
      </c>
      <c r="F1" t="s">
        <v>443</v>
      </c>
      <c r="G1" t="s">
        <v>74</v>
      </c>
      <c r="H1" t="s">
        <v>445</v>
      </c>
      <c r="I1" t="s">
        <v>98</v>
      </c>
      <c r="J1" t="s">
        <v>102</v>
      </c>
      <c r="K1" t="s">
        <v>106</v>
      </c>
      <c r="L1" t="s">
        <v>446</v>
      </c>
    </row>
    <row r="2" spans="1:12">
      <c r="A2" t="s">
        <v>447</v>
      </c>
      <c r="B2" t="s">
        <v>70</v>
      </c>
      <c r="C2" t="s">
        <v>145</v>
      </c>
      <c r="D2" t="s">
        <v>448</v>
      </c>
      <c r="E2" t="s">
        <v>360</v>
      </c>
      <c r="F2" t="s">
        <v>449</v>
      </c>
      <c r="G2" t="s">
        <v>450</v>
      </c>
      <c r="H2" t="s">
        <v>361</v>
      </c>
      <c r="I2" t="s">
        <v>451</v>
      </c>
      <c r="J2" t="s">
        <v>452</v>
      </c>
      <c r="K2" t="s">
        <v>453</v>
      </c>
      <c r="L2" t="s">
        <v>115</v>
      </c>
    </row>
    <row r="3" spans="1:12">
      <c r="A3" t="s">
        <v>454</v>
      </c>
      <c r="B3" t="s">
        <v>68</v>
      </c>
      <c r="C3" t="s">
        <v>455</v>
      </c>
      <c r="D3" t="s">
        <v>456</v>
      </c>
      <c r="E3" t="s">
        <v>113</v>
      </c>
      <c r="F3" t="s">
        <v>457</v>
      </c>
      <c r="G3" t="s">
        <v>458</v>
      </c>
      <c r="H3" t="s">
        <v>83</v>
      </c>
      <c r="I3" t="s">
        <v>459</v>
      </c>
      <c r="J3" t="s">
        <v>460</v>
      </c>
      <c r="K3" t="s">
        <v>461</v>
      </c>
      <c r="L3" t="s">
        <v>450</v>
      </c>
    </row>
    <row r="4" spans="1:12">
      <c r="A4" t="s">
        <v>462</v>
      </c>
      <c r="C4" t="s">
        <v>410</v>
      </c>
      <c r="F4" t="s">
        <v>456</v>
      </c>
      <c r="G4" t="s">
        <v>463</v>
      </c>
      <c r="L4" t="s">
        <v>458</v>
      </c>
    </row>
    <row r="5" spans="1:12">
      <c r="A5" t="s">
        <v>48</v>
      </c>
      <c r="C5" t="s">
        <v>71</v>
      </c>
      <c r="F5" t="s">
        <v>448</v>
      </c>
      <c r="G5" t="s">
        <v>464</v>
      </c>
      <c r="L5" t="s">
        <v>463</v>
      </c>
    </row>
    <row r="6" spans="1:12">
      <c r="A6" t="s">
        <v>465</v>
      </c>
      <c r="C6" t="s">
        <v>466</v>
      </c>
      <c r="G6" t="s">
        <v>467</v>
      </c>
      <c r="L6" t="s">
        <v>464</v>
      </c>
    </row>
    <row r="7" spans="1:12">
      <c r="C7" t="s">
        <v>468</v>
      </c>
      <c r="G7" t="s">
        <v>469</v>
      </c>
      <c r="L7" t="s">
        <v>467</v>
      </c>
    </row>
    <row r="8" spans="1:12">
      <c r="G8" t="s">
        <v>470</v>
      </c>
      <c r="L8" t="s">
        <v>469</v>
      </c>
    </row>
    <row r="9" spans="1:12">
      <c r="G9" t="s">
        <v>141</v>
      </c>
      <c r="L9" t="s">
        <v>470</v>
      </c>
    </row>
    <row r="10" spans="1:12">
      <c r="G10" t="s">
        <v>81</v>
      </c>
      <c r="L10" t="s">
        <v>141</v>
      </c>
    </row>
    <row r="11" spans="1:12">
      <c r="G11" t="s">
        <v>136</v>
      </c>
      <c r="L11" t="s">
        <v>81</v>
      </c>
    </row>
    <row r="12" spans="1:12">
      <c r="G12" t="s">
        <v>118</v>
      </c>
      <c r="L12" t="s">
        <v>136</v>
      </c>
    </row>
    <row r="13" spans="1:12">
      <c r="L13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DF3F5-9E5F-4489-9F1D-0F9559135A86}"/>
</file>

<file path=customXml/itemProps2.xml><?xml version="1.0" encoding="utf-8"?>
<ds:datastoreItem xmlns:ds="http://schemas.openxmlformats.org/officeDocument/2006/customXml" ds:itemID="{BBB4811A-7EA1-45FD-9BD4-70FF39002EB0}"/>
</file>

<file path=customXml/itemProps3.xml><?xml version="1.0" encoding="utf-8"?>
<ds:datastoreItem xmlns:ds="http://schemas.openxmlformats.org/officeDocument/2006/customXml" ds:itemID="{8A629625-64E5-4B61-9F66-35FBACFAF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Emmanuel Londono Gomez</cp:lastModifiedBy>
  <cp:revision/>
  <dcterms:created xsi:type="dcterms:W3CDTF">2023-03-29T19:04:22Z</dcterms:created>
  <dcterms:modified xsi:type="dcterms:W3CDTF">2026-03-19T03:36:34Z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0x010100CA76DB0C4120924AA26C4287891F496A</vt:lpwstr>
  </property>
  <property fmtid="{D5CDD505-2E9C-101B-9397-08002B2CF9AE}" pid="12" name="MediaServiceImageTags">
    <vt:lpwstr/>
  </property>
</Properties>
</file>