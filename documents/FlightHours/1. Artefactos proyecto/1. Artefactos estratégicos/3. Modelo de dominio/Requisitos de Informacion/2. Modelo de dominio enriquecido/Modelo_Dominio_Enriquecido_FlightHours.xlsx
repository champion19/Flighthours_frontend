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defaultThemeVersion="166925"/>
  <mc:AlternateContent xmlns:mc="http://schemas.openxmlformats.org/markup-compatibility/2006">
    <mc:Choice Requires="x15">
      <x15ac:absPath xmlns:x15ac="http://schemas.microsoft.com/office/spreadsheetml/2010/11/ac" url="https://uconet.sharepoint.com/sites/flutterElgyfarid/Shared Documents/General/1. Artefactos proyecto/1.1. Artefactos estratégicos/1.1.4. Modelo de dominio/1.1.3.2. Modelo de dominio enriquecido/"/>
    </mc:Choice>
  </mc:AlternateContent>
  <xr:revisionPtr revIDLastSave="12413" documentId="13_ncr:1_{C14E937D-0A79-469E-8434-7BA196048942}" xr6:coauthVersionLast="47" xr6:coauthVersionMax="47" xr10:uidLastSave="{4BA368E5-ECE4-42D0-A8C2-280CD8159E1E}"/>
  <bookViews>
    <workbookView xWindow="-110" yWindow="-110" windowWidth="19420" windowHeight="10300" firstSheet="9" activeTab="9" xr2:uid="{2A59BD0E-DCFC-43B5-898B-E273ED9A2069}"/>
  </bookViews>
  <sheets>
    <sheet name="Valores" sheetId="3" r:id="rId1"/>
    <sheet name="Modelo Dominio Anémico" sheetId="16" r:id="rId2"/>
    <sheet name="Objetos Dominio" sheetId="2" r:id="rId3"/>
    <sheet name="Aerolinea_Caracterización" sheetId="28" r:id="rId4"/>
    <sheet name="Aerolinea_Muestreo" sheetId="18" r:id="rId5"/>
    <sheet name="Aeropuerto_Caracterización " sheetId="42" r:id="rId6"/>
    <sheet name="Aeropuerto_Muestreo " sheetId="41" r:id="rId7"/>
    <sheet name="BitacoraDiaria_Caracterización " sheetId="56" r:id="rId8"/>
    <sheet name="BitacoraDiaria_Muestreo " sheetId="55" r:id="rId9"/>
    <sheet name="Det_BitacoraDia_Caracterización" sheetId="58" r:id="rId10"/>
    <sheet name="Deta_BitacoraDiaria_Muestreo " sheetId="57" r:id="rId11"/>
    <sheet name="Empleado_Caracterización" sheetId="27" r:id="rId12"/>
    <sheet name="Empleado_Muestreo" sheetId="7" r:id="rId13"/>
    <sheet name="EmpleadoAerolinea_Caracterizac" sheetId="48" r:id="rId14"/>
    <sheet name="EmpleadoAerolinea_Muestreo" sheetId="47" r:id="rId15"/>
    <sheet name="Fabricante_Caracterización" sheetId="21" r:id="rId16"/>
    <sheet name="Fabricante_Muestreo" sheetId="6" r:id="rId17"/>
    <sheet name="Familia_Caracterización" sheetId="22" r:id="rId18"/>
    <sheet name="Familia_Muestreo" sheetId="5" r:id="rId19"/>
    <sheet name="Matricula_Caracterización" sheetId="54" r:id="rId20"/>
    <sheet name="Matricula_Muestreo" sheetId="53" r:id="rId21"/>
    <sheet name="Modelo_Caracterización" sheetId="33" r:id="rId22"/>
    <sheet name="Modelo_Muestreo" sheetId="13" r:id="rId23"/>
    <sheet name="Motor_Caracterización" sheetId="26" r:id="rId24"/>
    <sheet name="Motor_Muestreo" sheetId="8" r:id="rId25"/>
    <sheet name="Ruta_Caracterizacion" sheetId="52" r:id="rId26"/>
    <sheet name="Ruta_Muestreo " sheetId="51" r:id="rId27"/>
    <sheet name="RutaAerolinea_Muestreo" sheetId="12" r:id="rId28"/>
    <sheet name="RutaAerolinea_Caracterización" sheetId="37" r:id="rId29"/>
    <sheet name="Tipo_Caracterización" sheetId="46" r:id="rId30"/>
    <sheet name="Tipo_Muestreo" sheetId="45" r:id="rId31"/>
    <sheet name="TipoAeropuerto_Caracterización" sheetId="39" r:id="rId32"/>
    <sheet name="TipoAeropuerto_Muestreo" sheetId="15" r:id="rId33"/>
    <sheet name="TipoIntegrante_Caracterización" sheetId="19" r:id="rId34"/>
    <sheet name="TipoIntegrante_Muestreo" sheetId="1" r:id="rId35"/>
    <sheet name="Vuelo_Caracterizacion" sheetId="50" r:id="rId36"/>
    <sheet name="Vuelo_Muestreo " sheetId="49" r:id="rId37"/>
  </sheets>
  <definedNames>
    <definedName name="_xlnm._FilterDatabase" localSheetId="8" hidden="1">'BitacoraDiaria_Muestreo '!$A$3:$I$4</definedName>
    <definedName name="_xlnm._FilterDatabase" localSheetId="10" hidden="1">'Deta_BitacoraDiaria_Muestreo '!$A$3:$C$4</definedName>
    <definedName name="_xlnm._FilterDatabase" localSheetId="16" hidden="1">Fabricante_Muestreo!$A$3:$C$5</definedName>
    <definedName name="_xlnm._FilterDatabase" localSheetId="12" hidden="1">Empleado_Muestreo!$A$1:$G$23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51" l="1"/>
  <c r="D6" i="51"/>
  <c r="D7" i="51"/>
  <c r="D8" i="51"/>
  <c r="D9" i="51"/>
  <c r="D10" i="51"/>
  <c r="D11" i="51"/>
  <c r="D12" i="51"/>
  <c r="D13" i="51"/>
  <c r="D4" i="51"/>
  <c r="U10" i="37"/>
  <c r="Z6" i="27"/>
  <c r="Y6" i="27"/>
  <c r="X6" i="27"/>
  <c r="W6" i="27"/>
  <c r="V6" i="27"/>
  <c r="V6" i="21"/>
  <c r="Y6" i="58"/>
  <c r="W6" i="58"/>
  <c r="X6" i="58"/>
  <c r="V6" i="58"/>
  <c r="V6" i="22"/>
  <c r="X6" i="54"/>
  <c r="W6" i="54"/>
  <c r="V6" i="54"/>
  <c r="V6" i="33"/>
  <c r="AA6" i="56"/>
  <c r="Z6" i="56"/>
  <c r="Y6" i="56"/>
  <c r="X6" i="56"/>
  <c r="V6" i="26"/>
  <c r="W6" i="56"/>
  <c r="V6" i="56"/>
  <c r="V6" i="52"/>
  <c r="X6" i="37"/>
  <c r="W6" i="37"/>
  <c r="V6" i="37"/>
  <c r="X6" i="46"/>
  <c r="W6" i="46"/>
  <c r="V6" i="46"/>
  <c r="X6" i="42"/>
  <c r="W6" i="42"/>
  <c r="V6" i="42"/>
  <c r="V6" i="39"/>
  <c r="V6" i="19"/>
  <c r="X6" i="50"/>
  <c r="W6" i="50"/>
  <c r="V6" i="50"/>
  <c r="X6" i="28"/>
  <c r="W6" i="28"/>
  <c r="V6" i="28"/>
  <c r="U9" i="50"/>
  <c r="Z6" i="48"/>
  <c r="Y6" i="48"/>
  <c r="X6" i="48"/>
  <c r="W6" i="48"/>
  <c r="V6" i="48"/>
  <c r="B16" i="52"/>
  <c r="B14" i="37"/>
  <c r="G5" i="7"/>
  <c r="G6" i="7"/>
  <c r="G7" i="7"/>
  <c r="G8" i="7"/>
  <c r="G9" i="7"/>
  <c r="G10" i="7"/>
  <c r="G11" i="7"/>
  <c r="G12" i="7"/>
  <c r="G13" i="7"/>
  <c r="G14" i="7"/>
  <c r="G15" i="7"/>
  <c r="G16" i="7"/>
  <c r="G17" i="7"/>
  <c r="G18" i="7"/>
  <c r="G19" i="7"/>
  <c r="G20" i="7"/>
  <c r="G21" i="7"/>
  <c r="G22" i="7"/>
  <c r="G23" i="7"/>
  <c r="G4" i="7"/>
  <c r="A11" i="27"/>
  <c r="A10" i="27"/>
  <c r="A9" i="27"/>
  <c r="D5" i="45"/>
  <c r="D6" i="45"/>
  <c r="D7" i="45"/>
  <c r="D4" i="45"/>
  <c r="B13" i="46"/>
  <c r="C4" i="55"/>
  <c r="U7" i="28"/>
  <c r="U10" i="42"/>
  <c r="B22" i="42"/>
  <c r="F4" i="55"/>
  <c r="B18" i="50"/>
  <c r="U11" i="56"/>
  <c r="A11" i="56"/>
  <c r="A10" i="42" l="1"/>
  <c r="U10" i="28"/>
  <c r="A10" i="28"/>
  <c r="B16" i="56" l="1"/>
  <c r="B16" i="27" l="1"/>
  <c r="U12" i="48"/>
  <c r="U11" i="48"/>
  <c r="U10" i="48"/>
  <c r="A11" i="48"/>
  <c r="A10" i="48"/>
  <c r="C23" i="47"/>
  <c r="F22" i="7"/>
  <c r="C22" i="47" s="1"/>
  <c r="F21" i="7"/>
  <c r="C21" i="47" s="1"/>
  <c r="F20" i="7"/>
  <c r="C20" i="47" s="1"/>
  <c r="F19" i="7"/>
  <c r="C19" i="47" s="1"/>
  <c r="F18" i="7"/>
  <c r="C18" i="47" s="1"/>
  <c r="F17" i="7"/>
  <c r="C17" i="47" s="1"/>
  <c r="F16" i="7"/>
  <c r="C16" i="47" s="1"/>
  <c r="F15" i="7"/>
  <c r="C15" i="47" s="1"/>
  <c r="F14" i="7"/>
  <c r="C14" i="47" s="1"/>
  <c r="F13" i="7"/>
  <c r="C13" i="47" s="1"/>
  <c r="F12" i="7"/>
  <c r="C12" i="47" s="1"/>
  <c r="F11" i="7"/>
  <c r="C11" i="47" s="1"/>
  <c r="F10" i="7"/>
  <c r="C10" i="47" s="1"/>
  <c r="F9" i="7"/>
  <c r="C9" i="47" s="1"/>
  <c r="F8" i="7"/>
  <c r="C8" i="47" s="1"/>
  <c r="F7" i="7"/>
  <c r="C7" i="47" s="1"/>
  <c r="F6" i="7"/>
  <c r="C6" i="47" s="1"/>
  <c r="F5" i="7"/>
  <c r="C5" i="47" s="1"/>
  <c r="F4" i="7"/>
  <c r="U9" i="28"/>
  <c r="U8" i="28"/>
  <c r="C4" i="47" l="1"/>
  <c r="U10" i="56"/>
  <c r="U9" i="56"/>
  <c r="U8" i="56"/>
  <c r="U7" i="56"/>
  <c r="U11" i="42"/>
  <c r="U9" i="42"/>
  <c r="A10" i="33"/>
  <c r="U10" i="33"/>
  <c r="U10" i="54"/>
  <c r="U9" i="54"/>
  <c r="U8" i="54"/>
  <c r="U7" i="54"/>
  <c r="B5" i="21"/>
  <c r="B4" i="21"/>
  <c r="B3" i="21"/>
  <c r="B2" i="21"/>
  <c r="B17" i="28"/>
  <c r="B16" i="28"/>
  <c r="B5" i="28"/>
  <c r="B4" i="28"/>
  <c r="B3" i="28"/>
  <c r="B2" i="28"/>
  <c r="B5" i="22"/>
  <c r="B4" i="22"/>
  <c r="B3" i="22"/>
  <c r="B2" i="22"/>
  <c r="A9" i="33"/>
  <c r="A8" i="33"/>
  <c r="B5" i="33"/>
  <c r="B4" i="33"/>
  <c r="B3" i="33"/>
  <c r="B2" i="33"/>
  <c r="A7" i="46"/>
  <c r="B5" i="46"/>
  <c r="B4" i="46"/>
  <c r="B3" i="46"/>
  <c r="B2" i="46"/>
  <c r="B5" i="26"/>
  <c r="B4" i="26"/>
  <c r="B3" i="26"/>
  <c r="B2" i="26"/>
  <c r="B3" i="27"/>
  <c r="A7" i="27"/>
  <c r="B5" i="27"/>
  <c r="B4" i="27"/>
  <c r="B2" i="27"/>
  <c r="B5" i="19"/>
  <c r="B4" i="19"/>
  <c r="B3" i="19"/>
  <c r="B2" i="19"/>
  <c r="B5" i="48"/>
  <c r="B4" i="48"/>
  <c r="B3" i="48"/>
  <c r="B2" i="48"/>
  <c r="B5" i="37"/>
  <c r="B4" i="37"/>
  <c r="B3" i="37"/>
  <c r="B2" i="37"/>
  <c r="B5" i="52"/>
  <c r="B4" i="52"/>
  <c r="B3" i="52"/>
  <c r="B2" i="52"/>
  <c r="U11" i="52"/>
  <c r="U10" i="52"/>
  <c r="U9" i="52"/>
  <c r="U8" i="52"/>
  <c r="U7" i="52"/>
  <c r="A11" i="52"/>
  <c r="A10" i="52"/>
  <c r="A9" i="52"/>
  <c r="C17" i="52" s="1"/>
  <c r="A8" i="52"/>
  <c r="C16" i="52" s="1"/>
  <c r="A7" i="52"/>
  <c r="U24" i="58"/>
  <c r="U23" i="58"/>
  <c r="U22" i="58"/>
  <c r="U21" i="58"/>
  <c r="U20" i="58"/>
  <c r="U19" i="58"/>
  <c r="U18" i="58"/>
  <c r="U17" i="58"/>
  <c r="U16" i="58"/>
  <c r="U15" i="58"/>
  <c r="U14" i="58"/>
  <c r="U13" i="58"/>
  <c r="A12" i="58"/>
  <c r="A11" i="58"/>
  <c r="C32" i="58" s="1"/>
  <c r="U12" i="58"/>
  <c r="U11" i="58"/>
  <c r="U10" i="58"/>
  <c r="U9" i="58"/>
  <c r="U8" i="58"/>
  <c r="U7" i="58"/>
  <c r="A24" i="58"/>
  <c r="A23" i="58"/>
  <c r="A22" i="58"/>
  <c r="A21" i="58"/>
  <c r="A20" i="58"/>
  <c r="A19" i="58"/>
  <c r="A18" i="58"/>
  <c r="A17" i="58"/>
  <c r="A16" i="58"/>
  <c r="A15" i="58"/>
  <c r="A14" i="58"/>
  <c r="A13" i="58"/>
  <c r="A10" i="58"/>
  <c r="A9" i="58"/>
  <c r="C31" i="58" s="1"/>
  <c r="A8" i="58"/>
  <c r="A7" i="58"/>
  <c r="B5" i="58"/>
  <c r="B4" i="58"/>
  <c r="B3" i="58"/>
  <c r="B2" i="58"/>
  <c r="A10" i="56"/>
  <c r="A9" i="56"/>
  <c r="C17" i="56" s="1"/>
  <c r="A8" i="56"/>
  <c r="C16" i="56" s="1"/>
  <c r="A7" i="56"/>
  <c r="A7" i="50"/>
  <c r="B5" i="50"/>
  <c r="B4" i="50"/>
  <c r="B3" i="50"/>
  <c r="B2" i="50"/>
  <c r="B5" i="56"/>
  <c r="B4" i="56"/>
  <c r="B3" i="56"/>
  <c r="B2" i="56"/>
  <c r="C23" i="12"/>
  <c r="C22" i="12"/>
  <c r="C21" i="12"/>
  <c r="C20" i="12"/>
  <c r="C19" i="12"/>
  <c r="C18" i="12"/>
  <c r="C17" i="12"/>
  <c r="C16" i="12"/>
  <c r="C15" i="12"/>
  <c r="C14" i="12"/>
  <c r="C13" i="12"/>
  <c r="C12" i="12"/>
  <c r="C11" i="12"/>
  <c r="C10" i="12"/>
  <c r="C9" i="12"/>
  <c r="C8" i="12"/>
  <c r="C7" i="12"/>
  <c r="C5" i="12"/>
  <c r="C4" i="12"/>
  <c r="R4" i="57"/>
  <c r="Q4" i="57"/>
  <c r="E4" i="57"/>
  <c r="G4" i="55"/>
  <c r="B7" i="47"/>
  <c r="B8" i="47"/>
  <c r="B9" i="47"/>
  <c r="B10" i="47"/>
  <c r="B11" i="47"/>
  <c r="B12" i="47"/>
  <c r="B13" i="47"/>
  <c r="B14" i="47"/>
  <c r="B15" i="47"/>
  <c r="B16" i="47"/>
  <c r="B17" i="47"/>
  <c r="B18" i="47"/>
  <c r="B19" i="47"/>
  <c r="B20" i="47"/>
  <c r="B21" i="47"/>
  <c r="B22" i="47"/>
  <c r="B23" i="47"/>
  <c r="H23" i="47" s="1"/>
  <c r="A5" i="58"/>
  <c r="A4" i="58"/>
  <c r="A3" i="58"/>
  <c r="A2" i="58"/>
  <c r="A5" i="56"/>
  <c r="A4" i="56"/>
  <c r="A3" i="56"/>
  <c r="A2" i="56"/>
  <c r="C6" i="12"/>
  <c r="D5" i="53"/>
  <c r="D6" i="53"/>
  <c r="D7" i="53"/>
  <c r="D8" i="53"/>
  <c r="D9" i="53"/>
  <c r="D10" i="53"/>
  <c r="D11" i="53"/>
  <c r="D12" i="53"/>
  <c r="D13" i="53"/>
  <c r="D14" i="53"/>
  <c r="D15" i="53"/>
  <c r="D16" i="53"/>
  <c r="D17" i="53"/>
  <c r="D18" i="53"/>
  <c r="D19" i="53"/>
  <c r="D20" i="53"/>
  <c r="D21" i="53"/>
  <c r="D22" i="53"/>
  <c r="D23" i="53"/>
  <c r="B17" i="54" l="1"/>
  <c r="B5" i="54"/>
  <c r="B4" i="54"/>
  <c r="B3" i="54"/>
  <c r="B2" i="54"/>
  <c r="D4" i="53"/>
  <c r="F4" i="18"/>
  <c r="B5" i="39"/>
  <c r="B4" i="39"/>
  <c r="B3" i="39"/>
  <c r="B2" i="39"/>
  <c r="B5" i="42"/>
  <c r="B2" i="42"/>
  <c r="A11" i="42"/>
  <c r="A9" i="42"/>
  <c r="C22" i="42" s="1"/>
  <c r="F5" i="41"/>
  <c r="F6" i="41"/>
  <c r="F7" i="41"/>
  <c r="F8" i="41"/>
  <c r="F9" i="41"/>
  <c r="F10" i="41"/>
  <c r="F11" i="41"/>
  <c r="F12" i="41"/>
  <c r="F13" i="41"/>
  <c r="F14" i="41"/>
  <c r="F15" i="41"/>
  <c r="F16" i="41"/>
  <c r="F17" i="41"/>
  <c r="F18" i="41"/>
  <c r="F19" i="41"/>
  <c r="F20" i="41"/>
  <c r="F21" i="41"/>
  <c r="F4" i="41"/>
  <c r="F5" i="51" l="1"/>
  <c r="F6" i="51"/>
  <c r="F7" i="51"/>
  <c r="F8" i="51"/>
  <c r="F9" i="51"/>
  <c r="F10" i="51"/>
  <c r="F11" i="51"/>
  <c r="F12" i="51"/>
  <c r="F13" i="51"/>
  <c r="F4" i="51"/>
  <c r="U8" i="37"/>
  <c r="A8" i="37"/>
  <c r="A10" i="54"/>
  <c r="A9" i="54"/>
  <c r="C18" i="54" s="1"/>
  <c r="A8" i="54"/>
  <c r="C17" i="54" s="1"/>
  <c r="A7" i="54"/>
  <c r="A5" i="54"/>
  <c r="A4" i="54"/>
  <c r="A3" i="54"/>
  <c r="A2" i="54"/>
  <c r="B5" i="12" l="1"/>
  <c r="B4" i="12"/>
  <c r="B23" i="12"/>
  <c r="B22" i="12"/>
  <c r="B21" i="12"/>
  <c r="B20" i="12"/>
  <c r="B19" i="12"/>
  <c r="B18" i="12"/>
  <c r="B17" i="12"/>
  <c r="B16" i="12"/>
  <c r="B15" i="12"/>
  <c r="B14" i="12"/>
  <c r="B13" i="12"/>
  <c r="B12" i="12"/>
  <c r="B11" i="12"/>
  <c r="B10" i="12"/>
  <c r="B9" i="12"/>
  <c r="B8" i="12"/>
  <c r="B7" i="12"/>
  <c r="B6" i="12"/>
  <c r="E5" i="12"/>
  <c r="E23" i="12"/>
  <c r="E22" i="12"/>
  <c r="E21" i="12"/>
  <c r="E20" i="12"/>
  <c r="E19" i="12"/>
  <c r="E18" i="12"/>
  <c r="E17" i="12"/>
  <c r="E16" i="12"/>
  <c r="E15" i="12"/>
  <c r="E14" i="12"/>
  <c r="E13" i="12"/>
  <c r="E12" i="12"/>
  <c r="E11" i="12"/>
  <c r="E10" i="12"/>
  <c r="A5" i="52"/>
  <c r="A4" i="52"/>
  <c r="A3" i="52"/>
  <c r="A2" i="52"/>
  <c r="E4" i="12"/>
  <c r="E9" i="12"/>
  <c r="E7" i="12"/>
  <c r="E6" i="12"/>
  <c r="D6" i="49" l="1"/>
  <c r="E6" i="49" s="1"/>
  <c r="D7" i="49"/>
  <c r="E7" i="49" s="1"/>
  <c r="D9" i="49"/>
  <c r="E9" i="49" s="1"/>
  <c r="D4" i="49"/>
  <c r="E4" i="49" s="1"/>
  <c r="C4" i="57" s="1"/>
  <c r="S4" i="57" s="1"/>
  <c r="D10" i="49"/>
  <c r="E10" i="49" s="1"/>
  <c r="D11" i="49"/>
  <c r="E11" i="49" s="1"/>
  <c r="D12" i="49"/>
  <c r="E12" i="49" s="1"/>
  <c r="D13" i="49"/>
  <c r="E13" i="49" s="1"/>
  <c r="D14" i="49"/>
  <c r="E14" i="49" s="1"/>
  <c r="D15" i="49"/>
  <c r="E15" i="49" s="1"/>
  <c r="D16" i="49"/>
  <c r="E16" i="49" s="1"/>
  <c r="D17" i="49"/>
  <c r="E17" i="49" s="1"/>
  <c r="D18" i="49"/>
  <c r="E18" i="49" s="1"/>
  <c r="D19" i="49"/>
  <c r="E19" i="49" s="1"/>
  <c r="D20" i="49"/>
  <c r="E20" i="49" s="1"/>
  <c r="D21" i="49"/>
  <c r="E21" i="49" s="1"/>
  <c r="D22" i="49"/>
  <c r="E22" i="49" s="1"/>
  <c r="D23" i="49"/>
  <c r="E23" i="49" s="1"/>
  <c r="D5" i="49"/>
  <c r="E5" i="49" s="1"/>
  <c r="E8" i="12"/>
  <c r="B6" i="47"/>
  <c r="B5" i="47"/>
  <c r="B4" i="47"/>
  <c r="I4" i="47" s="1"/>
  <c r="E5" i="45"/>
  <c r="E6" i="45"/>
  <c r="E7" i="45"/>
  <c r="E4" i="45"/>
  <c r="E5" i="18"/>
  <c r="E4" i="18"/>
  <c r="U7" i="46"/>
  <c r="U8" i="39"/>
  <c r="U10" i="50"/>
  <c r="U8" i="50"/>
  <c r="A8" i="50"/>
  <c r="D8" i="49" l="1"/>
  <c r="E8" i="49" s="1"/>
  <c r="U7" i="50"/>
  <c r="A10" i="50"/>
  <c r="C18" i="50" s="1"/>
  <c r="A9" i="50"/>
  <c r="C19" i="50" s="1"/>
  <c r="A5" i="50"/>
  <c r="A4" i="50"/>
  <c r="A3" i="50"/>
  <c r="A2" i="50"/>
  <c r="U9" i="37"/>
  <c r="B4" i="42"/>
  <c r="B3" i="42"/>
  <c r="A8" i="46" l="1"/>
  <c r="B16" i="33" l="1"/>
  <c r="B15" i="33"/>
  <c r="B17" i="48" l="1"/>
  <c r="A9" i="46"/>
  <c r="A9" i="37"/>
  <c r="U8" i="42"/>
  <c r="U7" i="42"/>
  <c r="A8" i="42"/>
  <c r="A7" i="42"/>
  <c r="U13" i="48"/>
  <c r="U9" i="48"/>
  <c r="U8" i="48"/>
  <c r="U7" i="48"/>
  <c r="A13" i="48"/>
  <c r="A12" i="48"/>
  <c r="A9" i="48"/>
  <c r="A8" i="48"/>
  <c r="A7" i="48"/>
  <c r="A5" i="48"/>
  <c r="A4" i="48"/>
  <c r="A3" i="48"/>
  <c r="A2" i="48"/>
  <c r="F5" i="13" l="1"/>
  <c r="F6" i="13"/>
  <c r="F7" i="13"/>
  <c r="F4" i="13"/>
  <c r="B4" i="13"/>
  <c r="E4" i="13" s="1"/>
  <c r="C4" i="45"/>
  <c r="U9" i="46"/>
  <c r="U8" i="46"/>
  <c r="C13" i="46"/>
  <c r="A5" i="46"/>
  <c r="A4" i="46"/>
  <c r="A3" i="46"/>
  <c r="A2" i="46"/>
  <c r="A9" i="28"/>
  <c r="C16" i="28" s="1"/>
  <c r="A8" i="28"/>
  <c r="C17" i="28" s="1"/>
  <c r="C20" i="53" l="1"/>
  <c r="E20" i="53" s="1"/>
  <c r="C21" i="53"/>
  <c r="E21" i="53" s="1"/>
  <c r="C22" i="53"/>
  <c r="E22" i="53" s="1"/>
  <c r="C23" i="53"/>
  <c r="E23" i="53" s="1"/>
  <c r="C5" i="53"/>
  <c r="E5" i="53" s="1"/>
  <c r="C6" i="53"/>
  <c r="E6" i="53" s="1"/>
  <c r="C7" i="53"/>
  <c r="E7" i="53" s="1"/>
  <c r="C8" i="53"/>
  <c r="E8" i="53" s="1"/>
  <c r="C9" i="53"/>
  <c r="E9" i="53" s="1"/>
  <c r="C19" i="53"/>
  <c r="E19" i="53" s="1"/>
  <c r="C4" i="53"/>
  <c r="E4" i="53" s="1"/>
  <c r="C11" i="53"/>
  <c r="E11" i="53" s="1"/>
  <c r="C12" i="53"/>
  <c r="E12" i="53" s="1"/>
  <c r="C13" i="53"/>
  <c r="E13" i="53" s="1"/>
  <c r="C14" i="53"/>
  <c r="E14" i="53" s="1"/>
  <c r="C15" i="53"/>
  <c r="E15" i="53" s="1"/>
  <c r="C16" i="53"/>
  <c r="E16" i="53" s="1"/>
  <c r="C17" i="53"/>
  <c r="E17" i="53" s="1"/>
  <c r="C18" i="53"/>
  <c r="E18" i="53" s="1"/>
  <c r="C10" i="53"/>
  <c r="E10" i="53" s="1"/>
  <c r="F5" i="18"/>
  <c r="D7" i="5"/>
  <c r="D5" i="5"/>
  <c r="D6" i="5"/>
  <c r="C6" i="45" s="1"/>
  <c r="D4" i="5"/>
  <c r="C4" i="15"/>
  <c r="C5" i="15"/>
  <c r="B7" i="13" l="1"/>
  <c r="E7" i="13" s="1"/>
  <c r="C7" i="45"/>
  <c r="C5" i="45"/>
  <c r="B5" i="13"/>
  <c r="E5" i="13" s="1"/>
  <c r="A8" i="19" l="1"/>
  <c r="A5" i="42" l="1"/>
  <c r="A4" i="42"/>
  <c r="A3" i="42"/>
  <c r="A2" i="42"/>
  <c r="B12" i="39" l="1"/>
  <c r="U7" i="39"/>
  <c r="C12" i="39"/>
  <c r="E19" i="41" l="1"/>
  <c r="E16" i="41"/>
  <c r="E6" i="41"/>
  <c r="E7" i="41"/>
  <c r="E17" i="41"/>
  <c r="E18" i="41"/>
  <c r="E8" i="41"/>
  <c r="E9" i="41"/>
  <c r="E20" i="41"/>
  <c r="E12" i="41"/>
  <c r="E10" i="41"/>
  <c r="E21" i="41"/>
  <c r="E11" i="41"/>
  <c r="E13" i="41"/>
  <c r="E14" i="41"/>
  <c r="E4" i="41"/>
  <c r="E5" i="41"/>
  <c r="E15" i="41"/>
  <c r="A7" i="39" l="1"/>
  <c r="A5" i="39"/>
  <c r="A4" i="39"/>
  <c r="A3" i="39"/>
  <c r="A2" i="39"/>
  <c r="U7" i="37"/>
  <c r="C14" i="37"/>
  <c r="A7" i="37"/>
  <c r="A5" i="37"/>
  <c r="A4" i="37"/>
  <c r="A3" i="37"/>
  <c r="A2" i="37"/>
  <c r="U9" i="33"/>
  <c r="U8" i="33"/>
  <c r="U7" i="33"/>
  <c r="C16" i="33"/>
  <c r="C15" i="33"/>
  <c r="A7" i="33"/>
  <c r="A5" i="33"/>
  <c r="A4" i="33"/>
  <c r="A3" i="33"/>
  <c r="A2" i="33"/>
  <c r="A7" i="28" l="1"/>
  <c r="A5" i="28"/>
  <c r="A4" i="28"/>
  <c r="A3" i="28"/>
  <c r="A2" i="28"/>
  <c r="A8" i="27"/>
  <c r="U12" i="27"/>
  <c r="U8" i="27"/>
  <c r="U7" i="27"/>
  <c r="A12" i="27"/>
  <c r="C16" i="27" s="1"/>
  <c r="A5" i="27"/>
  <c r="A4" i="27"/>
  <c r="A3" i="27"/>
  <c r="A2" i="27"/>
  <c r="B14" i="26"/>
  <c r="U8" i="26"/>
  <c r="U7" i="26"/>
  <c r="A7" i="26"/>
  <c r="A8" i="26"/>
  <c r="C14" i="26" s="1"/>
  <c r="A5" i="26"/>
  <c r="A4" i="26"/>
  <c r="A3" i="26"/>
  <c r="A2" i="26"/>
  <c r="B14" i="21"/>
  <c r="B14" i="19"/>
  <c r="B13" i="22"/>
  <c r="U9" i="22"/>
  <c r="U8" i="22"/>
  <c r="U7" i="22"/>
  <c r="A7" i="22"/>
  <c r="A9" i="22"/>
  <c r="A8" i="22"/>
  <c r="C13" i="22" s="1"/>
  <c r="A5" i="22"/>
  <c r="A4" i="22"/>
  <c r="A3" i="22"/>
  <c r="A2" i="22"/>
  <c r="U8" i="21"/>
  <c r="U7" i="21"/>
  <c r="A8" i="21"/>
  <c r="C14" i="21" s="1"/>
  <c r="A7" i="21"/>
  <c r="A5" i="21"/>
  <c r="A4" i="21"/>
  <c r="A3" i="21"/>
  <c r="A2" i="21"/>
  <c r="U8" i="19"/>
  <c r="U7" i="19"/>
  <c r="C14" i="19"/>
  <c r="A7" i="19"/>
  <c r="A5" i="19"/>
  <c r="A4" i="19"/>
  <c r="A3" i="19"/>
  <c r="A2" i="19"/>
  <c r="C5" i="8" l="1"/>
  <c r="C4" i="8"/>
  <c r="C5" i="6"/>
  <c r="C4" i="6"/>
  <c r="C5" i="1"/>
  <c r="C4" i="1"/>
  <c r="N4" i="57" l="1"/>
  <c r="K4" i="57"/>
  <c r="M4" i="57"/>
  <c r="L4" i="57"/>
  <c r="B6" i="13"/>
  <c r="E6" i="13" s="1"/>
  <c r="I23" i="47" l="1"/>
  <c r="P4" i="57" s="1"/>
  <c r="I13" i="47" l="1"/>
  <c r="H13" i="47"/>
  <c r="I19" i="47"/>
  <c r="H19" i="47"/>
  <c r="I11" i="47"/>
  <c r="H11" i="47"/>
  <c r="I21" i="47"/>
  <c r="H21" i="47"/>
  <c r="I18" i="47"/>
  <c r="H18" i="47"/>
  <c r="I10" i="47"/>
  <c r="H10" i="47"/>
  <c r="I17" i="47"/>
  <c r="H17" i="47"/>
  <c r="I16" i="47"/>
  <c r="H16" i="47"/>
  <c r="I8" i="47"/>
  <c r="H8" i="47"/>
  <c r="I22" i="47"/>
  <c r="H22" i="47"/>
  <c r="I15" i="47"/>
  <c r="H15" i="47"/>
  <c r="I7" i="47"/>
  <c r="H7" i="47"/>
  <c r="I9" i="47"/>
  <c r="H9" i="47"/>
  <c r="I14" i="47"/>
  <c r="H14" i="47"/>
  <c r="I6" i="47"/>
  <c r="H6" i="47"/>
  <c r="I5" i="47"/>
  <c r="H5" i="47"/>
  <c r="I20" i="47"/>
  <c r="H20" i="47"/>
  <c r="I12" i="47"/>
  <c r="H12" i="47"/>
  <c r="B4" i="57"/>
  <c r="O4" i="57" l="1"/>
  <c r="H4"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09073613-2337-4B70-88DB-6C34B275AC90}">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C4FA952D-5473-4D72-9C66-F70077CF1F8D}">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BDCE5AB3-4B20-467F-84A2-925864EF9179}">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B28C7742-E56D-4D61-A122-BADDB6BF4099}">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56C22A4D-57E0-4920-8BE6-536E9245249D}">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BB23A1F8-6F54-41B7-A757-D897860E2F9B}">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4F70D5B4-12D4-4211-A4E4-ACEDB3BF87EB}">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B74980F7-DACD-4506-A8C3-3831F29A63D1}">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61723621-E0CC-41DF-85DD-DD9D98C27C53}">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67F9902D-7696-4280-97DC-26294BDFA2D6}">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C5D607B1-C1A8-4BDF-8664-BBB7CF0710C0}">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8EE72E07-4AD7-4AFE-9422-415B9D85AFD0}">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B8A56260-E70E-4EC6-96D9-4C27E3E1EF82}">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C6DF492C-DAB5-409B-8317-2894CE7E0B8D}">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BD76BCFF-6EE3-4236-A293-04BF165F0F30}">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CAC67498-1C36-4C50-AC7E-EDCB52957D86}">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B484C06C-21B0-4DA4-A99D-CA0D429678DA}">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AE14F59E-745E-44D6-9B6D-87C6D468EA62}">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71495643-616D-48EA-86BB-F2AEDE1E78B0}">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5E5A5993-D4E5-40AB-A4F9-253D34D75B5B}">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5242775E-347A-4099-918C-E8CCDF04F9C8}">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3B0261AC-FBDB-4856-A84F-BD66CCDB0C77}">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A7B5CF78-2438-47FA-801A-98C86C61E40B}">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C85C9353-035A-4857-B314-FAA31729DB77}">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268A9DAA-BAD0-4E72-9F47-2DC307D29756}">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640F8947-C665-47BE-94A6-C838A0BB1D96}">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32170B2B-02E1-481C-B1CD-A64274A9986F}">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A000D600-BD8B-4D77-B814-5ABF1BAC100E}">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12A9A3F5-8BE8-4E5B-9FFB-8A81C9D7537F}">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A467357B-6742-421E-B589-05DBD898322D}">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ABACD6EC-5B4C-4A9E-A354-4D828220C6FF}">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ADA399B0-D017-494B-92BD-2EAFCD2165F6}">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1005FDD5-7C71-43AE-8FA3-E420568DD2A4}">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A2190093-F266-4E8B-B643-7896F1330D28}">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3F86A895-8816-4E9F-83C8-393CB58A4BCE}">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376BE680-A06E-42B6-950E-A34EC36D5F67}">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752FC5E0-0914-4BF4-A084-D215D0959F00}">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8403366D-BDB6-4E39-B3D8-19D9549A01F8}">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E3C0483C-5BB9-47CE-8ED2-C77AB45A9AC5}">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6F41B71C-9871-4156-8CA7-BE72E1DFC5D5}">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B1782282-AEDF-4423-B11F-24D66381C2A5}">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07CDB438-7E36-4CD7-B5F5-E2993A2B208B}">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DB007EEC-8F1F-4267-B147-1B19D58D3C37}">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27DD4864-01EF-4EF0-9445-4E63E1222400}">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E284AFDF-EF7C-4CB0-9738-64303F464756}">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535D491F-8E4A-47F3-9A8A-2F4D887B9464}">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4A813881-604F-40A8-8178-8F1CC01E7691}">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D55DF3D5-DEBA-4718-B0EE-21D7C04E5731}">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B221C618-682E-4B12-8DD7-953AACBE1923}">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9DB9857F-059A-4BF6-8288-2313DAB56626}">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4297CC6D-3383-475D-BBE8-F2010BB48743}">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BC993925-7A01-4F46-B167-B8F64C036445}">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D285EB9A-6684-4E30-92E2-B00C78B13D57}">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86D169EB-7D41-41CB-9909-DC5AE874CBE5}">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B5A9425C-8288-43DA-A1DB-43FA37049019}">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E3A3FA36-CF06-4E54-9364-51008B2752D7}">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779DFCED-B06D-4315-826C-5B9A354D1DB0}">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D05FBB4E-203A-40B3-81D6-596E328D0510}">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2A4655B3-57AF-40B1-A615-8CFCDD3FE8F6}">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F1E9545A-A988-4F70-A7E5-FD581D6A4CAD}">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69C0B005-6EE9-4E00-87FB-03A4A41F0FED}">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42F8D687-CF76-4A71-9FE2-940F61EA4FBB}">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C904A813-7D59-4AEF-A72A-03E8023F68EA}">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AC9983CA-70AB-4F78-B6A8-60BB8E16819E}">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62F13B7F-A30F-426E-93C0-BEB25342FB0A}">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3F2485B3-7945-48C9-988A-FF0684F4B5AB}">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0379B358-B778-4EF3-8945-A7F131F9363F}">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E5D044FD-806D-4110-8F2D-3F63514E2B31}">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FB2666EF-180D-462F-81CF-0A674E3403F0}">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229D6B88-F479-4528-A086-47DBDF1B268F}">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F99890E4-B5C7-4BBA-A5BA-E02AE6EC4A46}">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B1C1CCE9-5A7A-446C-8F99-ACAF4E23DFC5}">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A6E31928-8F3C-497F-A104-59B8C1E2DB55}">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DEBB4B97-C49B-43B1-BC3F-036CF7109928}">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572CE08B-CF4C-4D4B-8A61-87ADF4975B64}">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6987B657-2F64-4A4B-9FEA-D246A5CCC6B4}">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48F2BE97-62AC-4287-9E4A-C27436E1A75C}">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2FA5C3E1-FFC3-4B25-9B95-3897E08BBA74}">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D06F7B6F-526A-4C76-A34F-1E334B3B87F8}">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587AE4D5-5E7B-4BE8-892C-CE324F2BAD68}">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B672C9C8-F33C-485B-98D9-9CB1F060E225}">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8085508A-48B2-4A21-BA27-0F85394D1421}">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AB8DD1DB-1464-4B97-8491-9D885B8B23D3}">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2F333FB8-4664-41F7-86C7-A5635B2BB8E4}">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02AD221D-2C0E-47F3-9852-05C43BDD033F}">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B25D12CC-0B68-47A4-BEFB-98505B7558F4}">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5805AA14-7FF4-4647-8735-F83A667EE0F8}">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8555F578-0B61-441D-9C8C-2019889B09B0}">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CF99CD4F-FC0B-440E-87DC-AE149D987AA7}">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BAED7A86-357B-4412-8301-DB64807415F8}">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14EE6780-F09C-4DA7-80D7-4A3B2C81478F}">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0E2422BC-4367-44A9-AD7D-88107D0668C2}">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3D32B310-27E5-4D9B-9328-F886A532A2B3}">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7C621145-5DC8-4D2F-9A0D-59A7CC1892CA}">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7B1217BF-C52E-45D0-902C-471AE4728BFF}">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5266B78E-478D-4289-9498-32D533704D99}">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2FE55DE7-C639-4B58-A272-2FF2CF57D7C5}">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E3EB1BFD-BBAC-4736-8975-8BE72EA3A3D1}">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1F70937F-5F5A-4350-9D30-7D99C3FD80AE}">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6A0829B6-50B0-419F-B4C4-C72DF103DDAF}">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A5154FA7-29D7-4034-B7B5-1F9D70BDF6CA}">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E2D1DF65-BFA4-4D78-829A-33D4D39AA7DA}">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957A1E22-CFFD-47A4-8502-C3FE0E53BE35}">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4382DEDE-5D7E-427F-8EEA-CE5FA378AD10}">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57921C4B-9ADF-4EA2-BB76-BC3D0A51F8CE}">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7593A639-E3CC-4866-AB54-53867AA3B57D}">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2EC73F57-A2C8-44DD-B0EF-E794D0FBCD6A}">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967BB25D-7A18-4379-B926-4833772F7115}">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1F0A9F39-C2D9-4295-86BC-CB1C80985D42}">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6E546E71-5317-46DF-BDF9-2739FE0CA741}">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823995CF-51FD-424D-9EC1-FB92A22D6C6F}">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90A48AA7-4A45-4FE8-8578-A41E46697B61}">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BD84BF69-014E-4D42-99BA-C842C0580391}">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8D2ECD45-8CD0-45E9-9549-2765C1DF68A2}">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73920917-9DAD-4BED-A0A4-B3C6C60DF17A}">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A52EC661-FA07-42C8-BFE2-D8EA295267BE}">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ADB3E291-2514-4105-868F-DCFA0593A120}">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EBE1451A-8254-4F5D-B697-4AA11163AB8C}">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C3EC4575-8179-4C21-BD12-15C4DA29F6B2}">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774C84DD-9B0D-46D1-AE24-0BAFB82B18D5}">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H3" authorId="0" shapeId="0" xr:uid="{D9F21F71-0297-408B-858E-592BDC6E501D}">
      <text>
        <r>
          <rPr>
            <b/>
            <sz val="9"/>
            <color indexed="81"/>
            <rFont val="Tahoma"/>
            <family val="2"/>
          </rPr>
          <t>WIDER FARID SANCHEZ GARZON:</t>
        </r>
        <r>
          <rPr>
            <sz val="9"/>
            <color indexed="81"/>
            <rFont val="Tahoma"/>
            <family val="2"/>
          </rPr>
          <t xml:space="preserve">
No es posible tener más de un aeropuerto con el mismo nombre dentro de una misma ciudad.</t>
        </r>
      </text>
    </comment>
    <comment ref="I3" authorId="0" shapeId="0" xr:uid="{D5AE3946-FC5C-4F81-AC6B-7410629A82E6}">
      <text>
        <r>
          <rPr>
            <b/>
            <sz val="9"/>
            <color indexed="81"/>
            <rFont val="Tahoma"/>
            <family val="2"/>
          </rPr>
          <t>WIDER FARID SANCHEZ GARZON:</t>
        </r>
        <r>
          <rPr>
            <sz val="9"/>
            <color indexed="81"/>
            <rFont val="Tahoma"/>
            <family val="2"/>
          </rPr>
          <t xml:space="preserve">
No es posible tener más de un aeropuerto con el mismo nombre dentro de una misma ciudad.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0F7E6130-4F67-4360-B739-5FEC755B4D41}">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98CA7460-7213-4360-92AB-B9FB418FA746}">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78E67A25-AC0D-4392-8EC3-A4EFDF9F0C77}">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9B6D938D-0B5F-4B2F-9C54-3F5E7774C64F}">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02866B3A-6C36-400A-A936-DBBD5F4D8898}">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68CA1EA8-2792-49C6-BBCB-5C67C1B5CAD6}">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549B5B10-6EBA-4F6A-A53C-4E29F973058F}">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C8161404-5E38-49EF-B1FF-1B69B4C4F34C}">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97D1783F-8D47-4CBD-BA1E-D340C668966F}">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2257BBA1-E07E-4D2F-B1C6-479867AE2A08}">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04922772-8DA9-49B0-BCCA-C30A5E79489F}">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2D3D6410-AD65-475C-881F-BD0E2FBA2572}">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FBD4C7AA-2FD6-4764-852A-6420C0581C14}">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3A8F8141-F42A-45BA-822E-F3B2304E4729}">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52373510-2592-4134-B9DA-7920819CD259}">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9BA16B35-9549-441D-AC0C-3B4526540B10}">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3048470F-0E42-44F5-B549-025DD0B10E32}">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E9307BE3-CF89-4238-B0A5-812AB8FF3DC6}">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409429EB-96A7-4FA8-819F-ECA0D139C194}">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D87C3380-0A1C-4B59-BC53-FE5198DDCB82}">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99EF1D9C-4AAF-4188-8B45-48E7F8B67EC4}">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10354951-2824-46F9-B7ED-21A8910DC880}">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C49BABFE-44F9-4FDD-A597-B0A2E8CE96B2}">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EDB54879-CEE1-4402-8B48-D0A5304F689D}">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72A9C6CC-E485-4EB8-BD82-0C8ACE541849}">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64123212-509B-4019-B6FF-6DF12C30EF27}">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2B8D510A-A09D-4290-AF09-E84BC0A72884}">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87035C1A-CA7C-4200-88C9-4EE9163BA4A9}">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37EEA199-54D2-4C66-81A6-9C5E7F5ADF36}">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5614B585-D60E-49F5-AF9B-9289B4538668}">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F695E237-241B-4A76-98C3-87A9036204E0}">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4C82FDCA-9F37-4414-AC07-6AB15A1A9873}">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94E0C417-5186-4DCC-A2FD-AE7F0FB7788D}">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5D8DCDFB-1D1E-47FD-B9E7-721C663EB076}">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273832B1-F4D9-49AB-B5A5-646254B87FF5}">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F9DF4C67-AA72-44A5-BA29-25CA283C5992}">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50404010-8FFC-4B39-833D-6CDBC5ACDF5C}">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0AE06876-4314-4050-8B45-D3EF0C87BE22}">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633CA205-66D1-46F4-8137-F57B153DC474}">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61F9D191-D282-45EB-BB2D-7EA77411D527}">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D6EC92C5-8179-4470-9424-8E408685ADE6}">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F65B9ECE-1C30-4DD9-B31D-9F6357DED8F1}">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F07F6606-927C-4101-A0CD-22D825ADF87F}">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B9026B5D-5B08-40DE-A49B-714207498A9E}">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DA8E8FE2-9300-432D-A8C2-BE70DF878202}">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93E3151E-9A4C-48AD-9502-F434171BD549}">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12F5B035-690E-4FDA-B785-A9D395B08689}">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EEFA3F0C-1F9D-486A-A8E1-0B58B679268F}">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717CE76F-D1B2-4852-ADF8-1EC1848C3B4A}">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5720A9D0-8295-4780-A4CD-A41E1DC200E4}">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B4D6A20F-B784-4933-AFAE-9C7119F4BDFB}">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64BB8EFF-8437-40D8-85FD-79A9589EB3AA}">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96E5156C-D01B-4135-89C6-0696C8AF3A9D}">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B790A45C-BBBA-4BFD-BC22-650DE9B37499}">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E0C006D5-08A1-4D92-A348-5DC4E7497BC1}">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9425057A-5B4E-4E8F-A7FD-6169D2BEE936}">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D9211B2F-9AFC-4CCD-8A7D-E37F3DBEB6CD}">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1148D8FB-3B01-40C5-B332-AE51A343AD6B}">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FC9F08C7-382E-48A5-AE92-832DB9CC9B1B}">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8CB1F495-DB00-4042-A62D-6050A3B89D06}">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AF65DE5E-F7E4-47F7-99C3-415022E093CB}">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5C868EE8-06D1-4139-8F8F-C3E8A70E4757}">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B02D760D-F8EA-412D-B7D4-64D184BAAE75}">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ABD24503-5FFB-4421-834E-2242222AD4BF}">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F64385BF-D411-43FE-85DB-EAC12B27EFCA}">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732D1F47-DEB9-4F29-9EF9-70EB5FD3B765}">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9034C7C4-F8C5-457C-A17C-85928C93CB53}">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CC0D676C-D3D8-43D7-8822-615B8D0A7E11}">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B87B5976-DC78-4C57-99F9-A9608CA7F0BE}">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ED56CD06-0FC1-4D30-A456-AAC4AA7FCE36}">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5DA5A03B-C518-43E7-8835-E83AAE624E8E}">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83D499BC-4191-4780-8803-02E5C5C36A42}">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EDC43C15-A977-4E69-BA5D-4BFD812A2030}">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15A156B3-CFEC-42F0-9E62-A74C34B21CAD}">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36303DA1-EE76-4DC0-9CF3-F88F900BA935}">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56E3B87D-090B-42E9-92EF-92B36C657E5B}">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15C106E8-877A-4220-9D6E-9E682D28F8FD}">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CB36ADB8-13A0-49EE-A8A5-13CA10C25A9B}">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C52807B2-FF26-43AD-B293-ABF2C04075B9}">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B255E4FA-0390-4975-AFC2-E6C6CC8B2370}">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06F87DE4-BC79-484D-9EB0-CD4D50975D8B}">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61CCC6EF-5151-4740-8E83-6C5D928C7F7B}">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D81C60D8-5FC1-463F-AB53-80DDBB0ABB81}">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AB23A47E-F7A5-4497-9823-C3508EEA99A5}">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1CAB7D50-9384-46FC-BD9D-64D46F8B2BC7}">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3589E470-452C-4D71-9BF2-499FB22E36CE}">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AF0CAA86-EA34-4EAB-B0A6-16469CB1AA79}">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B5DC0173-2B3C-4FBB-83E0-1849C5563E6F}">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8E0B4DD6-77FA-4F9E-8D2E-CBA5D56357A8}">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3A663BDE-88D9-4551-84D9-F67C9ACBF5BB}">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52434B7E-428B-4D46-B8B7-E715BDFFE09A}">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271D5B04-D8C0-4412-AE3C-701D702271D3}">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F1864C0F-6D02-4A9F-BF7B-A34E4E401AEF}">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9307F093-FF96-4540-9A58-A74644A374C6}">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B7572065-EA65-430E-99CC-4E1E3B7959B2}">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11E2CF58-852B-43BA-A249-095C6B940020}">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3E5A2238-901C-4C5E-B27C-BF5459B3B8D0}">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3A288032-1452-498E-BD1E-F24147DB1931}">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B978D5D2-B237-4F48-B358-3E697FDB62F5}">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A9CD415A-F750-4168-98DA-1BD580C4FDB2}">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55E951E6-06BB-410A-86E8-BE26451FD3FE}">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F2989240-A817-44BE-9106-4E5BC299C5C7}">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0EB74003-6A97-422C-BD0E-2F0D31EAEDCA}">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2B1424D8-CD61-4E1E-B105-0BEE85D7C434}">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99D135B9-DE95-4365-9A0B-9171F4A94BFE}">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A7FC2FAA-70C9-4B83-871F-10E66E9E3AAE}">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B0541363-817E-4F6E-BD5A-A942E4D9B978}">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3BBB4ECC-32B4-4CF5-9EA4-0C96AF603DF9}">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8F42F4D0-390C-4D97-88E1-4171F57EAF16}">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BCF0F324-F673-46CD-AC0F-85EDB8E773EC}">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1086BB4B-4B69-4E2C-B702-115DEA69E2E2}">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8F6068AE-3093-416C-9D61-C8F24DEDBA83}">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68BC97AD-1394-4114-A645-1AA81B50F53F}">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011B0030-ADD3-4762-95F4-E68EA5EF5044}">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CEE8BAEA-B8F2-4286-9BEC-B8B8F3FC977E}">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77D34B6B-8FA3-4A0E-B055-224F7AB1D4EE}">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BA777D8E-75D3-441D-B447-2C9E21F03BD8}">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9D604EA7-B75B-473B-932C-813F92DF4145}">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8566F579-C8E9-49F7-BBAD-B276F8643F9E}">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1BA21BE9-C791-470C-972E-9D694A5F249B}">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2B1C4CA9-A8CA-4C93-B63B-33DA162A6113}">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720897F8-F41F-4A76-AEE6-FCB24334A1B7}">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97C711B2-5175-4966-9C75-B9EB842B8358}">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5BABA843-6C19-42CC-829B-0DD1181160C6}">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F89E7E70-6909-4A59-8A00-E0D7A8E91824}">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0C85B2B3-B540-4AC3-9DCA-DE03CA08323A}">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9AC4EFEF-4292-425B-8F75-1FD3899170E8}">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763C669A-928B-4FE9-AE08-190A959CA852}">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9463BA40-7F3F-4268-975D-39A0CB22B204}">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A720A2CF-2210-4E24-9C18-9D3378AFEA55}">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B1D5AA4B-4073-4650-B046-C09B007D56C6}">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B9FCCAE7-418C-4710-BBED-0A6B15B00426}">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3B2477E3-2D6F-4621-8E9B-A94C643A9328}">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D9141FAE-6BAB-44BB-B35E-8847957CD0F1}">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BB617249-E5D5-4D20-803C-7F44EEF10551}">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A54FCA84-2947-48BB-AAED-9E11FB00A622}">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3FC1FCF3-326C-4D3D-B54E-A3960DFB29C7}">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04D718DC-FB75-4C49-95BB-C6BD73DBDC7C}">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4F4D8C72-7087-46FF-A287-C0D7FF10D5F2}">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3C7CD197-6D28-4F9E-A42C-5C27159B8624}">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1A641CAD-B435-4026-91B7-279B57E5A228}">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C7CB2FF2-9A65-4F27-B8AB-152ED930EC79}">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D07525F1-33E4-44C7-8750-EDFB13BBB2F6}">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A0BF2528-BF58-42A2-97E0-B416312FB53E}">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B3573851-E863-452D-BC1E-7EDC391F24F4}">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6B31CD14-382C-469C-8E79-E1E09830F4D2}">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4DE59D74-DF5C-4B45-9E66-F0F4AEC2B048}">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8D2351A1-FEC2-415E-A0B1-8667EFB173FB}">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B31ECCF1-A75D-4B7F-8942-1AA9E8BA3B37}">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17C534AF-B958-4A35-BF69-37970E85EB83}">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FDB52715-7BCD-4B92-A376-FF3887B3BCFF}">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A904467F-F327-49F2-842E-1F3D1C66D16C}">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94B8E867-C985-4749-B661-EA0BAC42AE03}">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0DBBD352-A99D-4FBE-A35F-9C96BCED8972}">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410E3404-54DA-4A7A-A448-05988E9F4619}">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F09028A6-5DC8-4A18-8DF6-33D6CF7F6821}">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C2AECB57-E19E-42C3-A89F-D3103B9F65AF}">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4F99B2CB-290D-4018-8622-7305EDE297D5}">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A952C3F0-F465-47FD-9F18-F729BDFA326F}">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EB50EE57-4443-4E85-BFA9-10A04CFC18C3}">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B9B7C092-85FB-4197-8CD2-0F10847575E1}">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35640A0D-ACDB-4D0B-B307-5BF0FCED0547}">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4C4D00A5-D053-410F-890A-860AD76A3928}">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230A8F19-FD0A-45B8-9EEC-418452BBC122}">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7D6159A4-3821-4B8A-9581-D7FCF3C5B968}">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656C7F8F-63CD-48D2-B1BE-C9219FF25003}">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A3503642-463C-4595-A76F-861F70A1786D}">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9D6D9F8E-A7F2-4C86-BFF1-B432F2D69166}">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3CA3DF3A-0440-4BE9-80B7-56878DEC9340}">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E168134C-CD90-48AA-A5DC-00C0562AC09B}">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36573477-E7D7-4DDA-A2B4-2F28BA063CDD}">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6741F95F-4225-498A-B6C2-EAC4149F79FA}">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83963912-4768-4167-839A-0BE6624CD8BA}">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B447073B-C56C-4744-9532-D718DD52063F}">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A17F0C0A-96B2-4C1A-8449-DC8395ED6E2B}">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80152546-5C74-45D0-AC52-8CA6AE260418}">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33B827B2-8787-4E48-95B5-72E3D8B8A84D}">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B36DBBD4-2575-46E9-B703-8E37F9BF56EF}">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64E24DFA-E207-4631-8709-2C15C20AA053}">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2E56C4CC-6BF7-4692-BEBA-612CF403D725}">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B214B3A6-2F64-4B04-9A62-89959A8B982C}">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AD3FD5B1-394A-4FA1-8BDF-6255AD3D91B2}">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BC29768B-D989-4685-9DD4-78D2A45B23E6}">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5A7FF0D1-3F82-471D-B88B-A1BD507162B1}">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C31420A7-B363-40AC-989E-5DDCB992B2A2}">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49876B18-C950-47BD-B0B2-14CC3F4B7D92}">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7D961D56-0131-4D33-9821-EC172E3B60E8}">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D3FC54B5-6CE1-429B-89A3-9AB3BC38B325}">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73CD1544-7295-4689-90B2-86DD7EB11248}">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36D23743-EC48-4DAA-BBD5-35E321C33E56}">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FA2D4817-26A5-4CE8-A6DF-069ED1242E8E}">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DEB3627B-4F6D-41DD-82ED-4B8F3F8CCCFE}">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214EB7F9-75A3-4951-B718-F3C2548CF5C3}">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A6E0C87F-A1BE-4D5B-AE80-0B4C2F35D888}">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C1808776-D6B9-43A6-A170-625DFD1D2CEB}">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A5336B7F-47B6-4716-BA51-0B95FB1A397E}">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4966530D-206B-41DE-B2E2-BD9CE998E103}">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1F0F55FA-05D8-4AE5-AF5A-AED5C3C5713A}">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47081255-0D00-4DB9-A705-7272742850AE}">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C50E51E8-1398-4AA0-B513-B5C9F18DAE13}">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6" authorId="0" shapeId="0" xr:uid="{67E5D541-0226-434E-8103-DA7216D0BCDB}">
      <text>
        <r>
          <rPr>
            <b/>
            <sz val="9"/>
            <color indexed="81"/>
            <rFont val="Tahoma"/>
            <family val="2"/>
          </rPr>
          <t>WIDER FARID SANCHEZ GARZON:</t>
        </r>
        <r>
          <rPr>
            <sz val="9"/>
            <color indexed="81"/>
            <rFont val="Tahoma"/>
            <family val="2"/>
          </rPr>
          <t xml:space="preserve">
Corresponde al nombre del atributo del objeto de dominio.</t>
        </r>
      </text>
    </comment>
    <comment ref="B6" authorId="0" shapeId="0" xr:uid="{8142BC3B-28B9-4EF4-AFFE-9EA3BF414850}">
      <text>
        <r>
          <rPr>
            <b/>
            <sz val="9"/>
            <color indexed="81"/>
            <rFont val="Tahoma"/>
            <family val="2"/>
          </rPr>
          <t>WIDER FARID SANCHEZ GARZON:</t>
        </r>
        <r>
          <rPr>
            <sz val="9"/>
            <color indexed="81"/>
            <rFont val="Tahoma"/>
            <family val="2"/>
          </rPr>
          <t xml:space="preserve">
Corresponde al tipo de dato del atributo del objeto de dominio.
-Carácter: Tipo de dato para alojar carácteres con longitud fija.
-Texto: Tipo de dato para alojar combinaciones de letras de la A hasta la Z (mayúscula o minúscula).
-Alfanumérico: Tipo de dato para alojar cualquier combinación de caracteres.
-Numérico Entero: Tipo de dato para alojar números enteros.
-Numérico Decimal: Tipo de dato para alojar números con parte decimal.
-Lógico: Tipo de dato para alojar dos posibles valores o sus equivalentes (VERDADERO/FALSO).
-Fecha: Tipo de dato para alojar fechas donde no importan horas, minutos, segundos
-Fecha/Hora: Tipo de dato para alojar fechas donde sí importan horas, minutos, segundos
Cuando son atributos que vienen desde otros objetos de dominio de otros contextos, se deben respetar los tipos de datos con los que llegaron desde allí, y en caso de que se quiera tener una versión propia del dato, se deberá alojar como un nuevo atributo.</t>
        </r>
      </text>
    </comment>
    <comment ref="C6" authorId="0" shapeId="0" xr:uid="{11FCA876-FEA4-47CA-B43F-300D06856D90}">
      <text>
        <r>
          <rPr>
            <b/>
            <sz val="9"/>
            <color indexed="81"/>
            <rFont val="Tahoma"/>
            <family val="2"/>
          </rPr>
          <t>WIDER FARID SANCHEZ GARZON:</t>
        </r>
        <r>
          <rPr>
            <sz val="9"/>
            <color indexed="81"/>
            <rFont val="Tahoma"/>
            <family val="2"/>
          </rPr>
          <t xml:space="preserve">
Indica la longitud mínima del dato si aplica correspondiente a un número mayor o igual a 0 y menor o igual a la longitud máxima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D6" authorId="0" shapeId="0" xr:uid="{A17C23B1-F5A1-40E0-AC2B-ECF5A30E6C78}">
      <text>
        <r>
          <rPr>
            <b/>
            <sz val="9"/>
            <color indexed="81"/>
            <rFont val="Tahoma"/>
            <family val="2"/>
          </rPr>
          <t>WIDER FARID SANCHEZ GARZON:</t>
        </r>
        <r>
          <rPr>
            <sz val="9"/>
            <color indexed="81"/>
            <rFont val="Tahoma"/>
            <family val="2"/>
          </rPr>
          <t xml:space="preserve">
Indica la longitud máxima del dato si aplica correspondiente a un número mayor o igual a 0 y mayor o igual a la longitud mínima en caso de que esta también aplique. En caso de no aplicar, se mantiene vacío. Sólo es aplicable a tipos de datos CARÁCTER, TEXTO y ALFANUMÉRICO.
Cuando son atributos que vienen desde otros objetos de dominio de otros contextos, se deben respetar las longitudes con los que llegaron desde allí, y en caso de que se quiera tener una versión propia del dato, se deberá alojar como un nuevo atributo.</t>
        </r>
      </text>
    </comment>
    <comment ref="E6" authorId="0" shapeId="0" xr:uid="{2A158A7B-4918-44C2-8B41-0B3B6602F8A3}">
      <text>
        <r>
          <rPr>
            <b/>
            <sz val="9"/>
            <color indexed="81"/>
            <rFont val="Tahoma"/>
            <family val="2"/>
          </rPr>
          <t>WIDER FARID SANCHEZ GARZON:</t>
        </r>
        <r>
          <rPr>
            <sz val="9"/>
            <color indexed="81"/>
            <rFont val="Tahoma"/>
            <family val="2"/>
          </rPr>
          <t xml:space="preserve">
Sólo aplica para tipos de datos NÚMERO DECIMAL. Permite indicar la cantidad de dígitos que se manejarán en la parte decimal. Cuando no aplique, se deja vacío.
Cuando son atributos que vienen desde otros objetos de dominio de otros contextos, se deben respetar las precisiones con los que llegaron desde allí, y en caso de que se quiera tener una versión propia del dato, se deberá alojar como un nuevo atributo.</t>
        </r>
      </text>
    </comment>
    <comment ref="F6" authorId="0" shapeId="0" xr:uid="{F3FA14C4-0722-4F94-B06A-7C61B1268494}">
      <text>
        <r>
          <rPr>
            <b/>
            <sz val="9"/>
            <color indexed="81"/>
            <rFont val="Tahoma"/>
            <family val="2"/>
          </rPr>
          <t>WIDER FARID SANCHEZ GARZON:</t>
        </r>
        <r>
          <rPr>
            <sz val="9"/>
            <color indexed="81"/>
            <rFont val="Tahoma"/>
            <family val="2"/>
          </rPr>
          <t xml:space="preserve">
Sólo aplica para tipos de datos NÚMERO DECIMAL. Permite indicar a qué cantidad de dígitos se debe redondear un número cuando aplique. Cuando no aplique, se deja vacío.</t>
        </r>
      </text>
    </comment>
    <comment ref="G6" authorId="0" shapeId="0" xr:uid="{9C74BE64-B96B-49EE-B727-8FB39CAD2A3D}">
      <text>
        <r>
          <rPr>
            <b/>
            <sz val="9"/>
            <color indexed="81"/>
            <rFont val="Tahoma"/>
            <family val="2"/>
          </rPr>
          <t>WIDER FARID SANCHEZ GARZON:</t>
        </r>
        <r>
          <rPr>
            <sz val="9"/>
            <color indexed="81"/>
            <rFont val="Tahoma"/>
            <family val="2"/>
          </rPr>
          <t xml:space="preserve">
Sólo aplica para datos de tipo NÚMERO DECIMAL. Indica el tipo de rendondeo que se debe aplicar:
-Truncar: Indica que el número se truncará a la cantidad de dígitos especificados en el redondeo en la parte decimal.
-Por debajo: Indica que el número se redonderá al número más bajo equivalente a la cantidad de dígitos especificados en el redondeo en la parte decimal.
-Por encima: Indica que el número se redonderá al número más alto equivalente a la cantidad de dígitos especificados en el redondeo en la parte decimal.
Cuando son atributos que vienen desde otros objetos de dominio de otros contextos, se deben respetar los valores con los que llegaron desde allí, y en caso de que se quiera tener una versión propia del dato, se deberá alojar como un nuevo atributo.</t>
        </r>
      </text>
    </comment>
    <comment ref="H6" authorId="0" shapeId="0" xr:uid="{3453AB0A-D270-46E1-A51B-2C163EA625A4}">
      <text>
        <r>
          <rPr>
            <b/>
            <sz val="9"/>
            <color indexed="81"/>
            <rFont val="Tahoma"/>
            <family val="2"/>
          </rPr>
          <t>WIDER FARID SANCHEZ GARZON:</t>
        </r>
        <r>
          <rPr>
            <sz val="9"/>
            <color indexed="81"/>
            <rFont val="Tahoma"/>
            <family val="2"/>
          </rPr>
          <t xml:space="preserve">
Indica el rango inicial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I6" authorId="0" shapeId="0" xr:uid="{B92118D9-A502-4C21-B365-7BAF7ECA1D1F}">
      <text>
        <r>
          <rPr>
            <b/>
            <sz val="9"/>
            <color indexed="81"/>
            <rFont val="Tahoma"/>
            <family val="2"/>
          </rPr>
          <t>WIDER FARID SANCHEZ GARZON:</t>
        </r>
        <r>
          <rPr>
            <sz val="9"/>
            <color indexed="81"/>
            <rFont val="Tahoma"/>
            <family val="2"/>
          </rPr>
          <t xml:space="preserve">
Indica el rango final del dato siempre que aplique. El rango es incluyente. En caso de que no aplique, se deja vacío.
Cuando son atributos que vienen desde otros objetos de dominio de otros contextos, se deben respetar los valores con los que llegaron desde allí, y en caso de que se quiera tener una versión propia del dato, se deberá alojar como un nuevo atributo.</t>
        </r>
      </text>
    </comment>
    <comment ref="J6" authorId="0" shapeId="0" xr:uid="{4BA3016D-983E-4014-859F-82ADD4D5349D}">
      <text>
        <r>
          <rPr>
            <b/>
            <sz val="9"/>
            <color indexed="81"/>
            <rFont val="Tahoma"/>
            <family val="2"/>
          </rPr>
          <t>WIDER FARID SANCHEZ GARZON:</t>
        </r>
        <r>
          <rPr>
            <sz val="9"/>
            <color indexed="81"/>
            <rFont val="Tahoma"/>
            <family val="2"/>
          </rPr>
          <t xml:space="preserve">
Indica si se debe cumplir un formato de texto en especial. Sólo aplica para datos de tipo CARÁCTER, TEXTO y ALFANUMËRICO. Cuando no aplique, se deja vacío.
Cuando son atributos que vienen desde otros objetos de dominio de otros contextos, se deben respetar los formatos con los que llegaron desde allí, y en caso de que se quiera tener una versión propia del dato, se deberá alojar como un nuevo atributo.</t>
        </r>
      </text>
    </comment>
    <comment ref="K6" authorId="0" shapeId="0" xr:uid="{FE2660B4-7CDB-45FB-A790-6A9C99E7B1BD}">
      <text>
        <r>
          <rPr>
            <b/>
            <sz val="9"/>
            <color indexed="81"/>
            <rFont val="Tahoma"/>
            <family val="2"/>
          </rPr>
          <t>WIDER FARID SANCHEZ GARZON:</t>
        </r>
        <r>
          <rPr>
            <sz val="9"/>
            <color indexed="81"/>
            <rFont val="Tahoma"/>
            <family val="2"/>
          </rPr>
          <t xml:space="preserve">
Indica si debe tener un valor por defecto en caso de que no se ingrese el valor. Cuando no aplique, se deja vacío.
Cuando son atributos que vienen desde otros objetos de dominio de otros contextos, se deben respetar los valores con los que llegaron desde allí y no se deberán definir valores por defecto, y en caso de que se quiera tener una versión propia del dato, se deberá alojar como un nuevo atributo.</t>
        </r>
      </text>
    </comment>
    <comment ref="L6" authorId="0" shapeId="0" xr:uid="{3C5A5345-C862-4275-A3E0-A61E8AFE5713}">
      <text>
        <r>
          <rPr>
            <b/>
            <sz val="9"/>
            <color indexed="81"/>
            <rFont val="Tahoma"/>
            <family val="2"/>
          </rPr>
          <t>WIDER FARID SANCHEZ GARZON:</t>
        </r>
        <r>
          <rPr>
            <sz val="9"/>
            <color indexed="81"/>
            <rFont val="Tahoma"/>
            <family val="2"/>
          </rPr>
          <t xml:space="preserve">
Indica si se debe aplicar alguna regla especial al dato, o si su ingreso o valor depende de otro atributo de este u otro objeto de dominio. Cuando no aplique, se deja vacío.
Cuando son atributos que vienen desde otros objetos de dominio de otros contextos, se deben respetar las reglas con los que llegaron desde allí, y en caso de que se quiera tener una versión propia del dato, se deberá alojar como un nuevo atributo.</t>
        </r>
      </text>
    </comment>
    <comment ref="M6" authorId="0" shapeId="0" xr:uid="{2B4825BE-E0B0-4CC8-BB92-862034D1F96A}">
      <text>
        <r>
          <rPr>
            <b/>
            <sz val="9"/>
            <color indexed="81"/>
            <rFont val="Tahoma"/>
            <family val="2"/>
          </rPr>
          <t>WIDER FARID SANCHEZ GARZON:</t>
        </r>
        <r>
          <rPr>
            <sz val="9"/>
            <color indexed="81"/>
            <rFont val="Tahoma"/>
            <family val="2"/>
          </rPr>
          <t xml:space="preserve">
Indica si se deben limpiar los espacios en blanco al inicio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
Cuando son atributos que vienen desde otros objetos de dominio de otros contextos, se deben respetar los valores con los que llegaron desde allí, y en caso de que se quiera tener una versión propia del dato, se deberá alojar como un nuevo atributo.</t>
        </r>
      </text>
    </comment>
    <comment ref="N6" authorId="0" shapeId="0" xr:uid="{EB83C882-E5FF-47AA-A39C-67AE718E833E}">
      <text>
        <r>
          <rPr>
            <b/>
            <sz val="9"/>
            <color indexed="81"/>
            <rFont val="Tahoma"/>
            <family val="2"/>
          </rPr>
          <t>WIDER FARID SANCHEZ GARZON:</t>
        </r>
        <r>
          <rPr>
            <sz val="9"/>
            <color indexed="81"/>
            <rFont val="Tahoma"/>
            <family val="2"/>
          </rPr>
          <t xml:space="preserve">
Indica si se deben limpiar los espacios en blanco al final de la cadena. Sólo aplica para datos de tipo CARÁCTER, TEXTO y ALFANUMËRICO.
Cuando son atributos que vienen desde otros objetos de dominio de otros contextos, se deben respetar los valores con los que llegaron desde allí, y en caso de que se quiera tener una versión propia del dato, se deberá alojar como un nuevo atributo.</t>
        </r>
      </text>
    </comment>
    <comment ref="O6" authorId="0" shapeId="0" xr:uid="{F44BBCFE-5ECB-4556-8F06-39A573FD7431}">
      <text>
        <r>
          <rPr>
            <b/>
            <sz val="9"/>
            <color indexed="81"/>
            <rFont val="Tahoma"/>
            <family val="2"/>
          </rPr>
          <t>WIDER FARID SANCHEZ GARZON:</t>
        </r>
        <r>
          <rPr>
            <sz val="9"/>
            <color indexed="81"/>
            <rFont val="Tahoma"/>
            <family val="2"/>
          </rPr>
          <t xml:space="preserve">
Indica si el dato es autogenerado (no es entregado al proceso)
Cuando son atributos que vienen desde otros objetos de dominio de otros contextos, se deben respetar los valores con los que llegaron desde allí, y en caso de que se quiera tener una versión propia del dato, se deberá alojar como un nuevo atributo.</t>
        </r>
      </text>
    </comment>
    <comment ref="P6" authorId="0" shapeId="0" xr:uid="{CDC748D7-0674-4724-8169-C923AC5DFB4F}">
      <text>
        <r>
          <rPr>
            <b/>
            <sz val="9"/>
            <color indexed="81"/>
            <rFont val="Tahoma"/>
            <family val="2"/>
          </rPr>
          <t>WIDER FARID SANCHEZ GARZON:</t>
        </r>
        <r>
          <rPr>
            <sz val="9"/>
            <color indexed="81"/>
            <rFont val="Tahoma"/>
            <family val="2"/>
          </rPr>
          <t xml:space="preserve">
Indica si el dato es calculado o no a partir de otros atributos del mismo objeto y/o de otros.
Cuando son atributos que vienen desde otros objetos de dominio de otros contextos, se deben respetar los valores con los que llegaron desde allí, y en caso de que se quiera tener una versión propia del dato, se deberá alojar como un nuevo atributo.</t>
        </r>
      </text>
    </comment>
    <comment ref="Q6" authorId="0" shapeId="0" xr:uid="{9D93551E-672F-4510-9191-219A5198E247}">
      <text>
        <r>
          <rPr>
            <b/>
            <sz val="9"/>
            <color indexed="81"/>
            <rFont val="Tahoma"/>
            <family val="2"/>
          </rPr>
          <t>WIDER FARID SANCHEZ GARZON:</t>
        </r>
        <r>
          <rPr>
            <sz val="9"/>
            <color indexed="81"/>
            <rFont val="Tahoma"/>
            <family val="2"/>
          </rPr>
          <t xml:space="preserve">
Indica si el dato es o no obligatorio para mantener la integridad del objeto de dominio.</t>
        </r>
      </text>
    </comment>
    <comment ref="R6" authorId="0" shapeId="0" xr:uid="{143013E4-2957-417A-B8A2-F30F78960148}">
      <text>
        <r>
          <rPr>
            <b/>
            <sz val="9"/>
            <color indexed="81"/>
            <rFont val="Tahoma"/>
            <family val="2"/>
          </rPr>
          <t>WIDER FARID SANCHEZ GARZON:</t>
        </r>
        <r>
          <rPr>
            <sz val="9"/>
            <color indexed="81"/>
            <rFont val="Tahoma"/>
            <family val="2"/>
          </rPr>
          <t xml:space="preserve">
Indica si el valor del atributo puede o no ser modificado. Cuando el atributo corresponde a un objeto de dominio que se referencia desde otro concepto, este valor debe conservarse en NO. En otro caso, ya la modificación dependerá de la integridad del objeto de dominio para el contexto actual.</t>
        </r>
      </text>
    </comment>
    <comment ref="S6" authorId="0" shapeId="0" xr:uid="{D47BAB14-53B5-4830-BDFB-F0EDECD2C40D}">
      <text>
        <r>
          <rPr>
            <b/>
            <sz val="9"/>
            <color indexed="81"/>
            <rFont val="Tahoma"/>
            <family val="2"/>
          </rPr>
          <t>WIDER FARID SANCHEZ GARZON:</t>
        </r>
        <r>
          <rPr>
            <sz val="9"/>
            <color indexed="81"/>
            <rFont val="Tahoma"/>
            <family val="2"/>
          </rPr>
          <t xml:space="preserve">
Indica si el dato es sensible o requiere de un tratamiento especial.</t>
        </r>
      </text>
    </comment>
    <comment ref="T6" authorId="0" shapeId="0" xr:uid="{D7E72E5A-C9BD-4C21-8D77-DEEE7636D781}">
      <text>
        <r>
          <rPr>
            <b/>
            <sz val="9"/>
            <color indexed="81"/>
            <rFont val="Tahoma"/>
            <family val="2"/>
          </rPr>
          <t>WIDER FARID SANCHEZ GARZON:</t>
        </r>
        <r>
          <rPr>
            <sz val="9"/>
            <color indexed="81"/>
            <rFont val="Tahoma"/>
            <family val="2"/>
          </rPr>
          <t xml:space="preserve">
Indica si el atributo asegura que el registro dentro del objeto de dominio sea único. Por objeto de dominio, siempre habrá un único atributo que identifica al registro, generalmente llamado id, identificador.</t>
        </r>
      </text>
    </comment>
  </commentList>
</comments>
</file>

<file path=xl/sharedStrings.xml><?xml version="1.0" encoding="utf-8"?>
<sst xmlns="http://schemas.openxmlformats.org/spreadsheetml/2006/main" count="3284" uniqueCount="844">
  <si>
    <t>Tipo</t>
  </si>
  <si>
    <t>Contextos</t>
  </si>
  <si>
    <t>Estado</t>
  </si>
  <si>
    <t>Respuesta</t>
  </si>
  <si>
    <t>Tipo Dato</t>
  </si>
  <si>
    <t>Tipo Redondeo</t>
  </si>
  <si>
    <t>Referenciado</t>
  </si>
  <si>
    <t>Flight Hours</t>
  </si>
  <si>
    <t>Activo</t>
  </si>
  <si>
    <t>SI</t>
  </si>
  <si>
    <t>Carácter</t>
  </si>
  <si>
    <t>Truncar</t>
  </si>
  <si>
    <t>Propio</t>
  </si>
  <si>
    <t>Inactivo</t>
  </si>
  <si>
    <t>NO</t>
  </si>
  <si>
    <t>Texto</t>
  </si>
  <si>
    <t>Por debajo</t>
  </si>
  <si>
    <t>Alfanumérico</t>
  </si>
  <si>
    <t>Por encima</t>
  </si>
  <si>
    <t>Numérico Entero</t>
  </si>
  <si>
    <t>Numérico Decimal</t>
  </si>
  <si>
    <t>Lógico</t>
  </si>
  <si>
    <t>Fecha</t>
  </si>
  <si>
    <t>Fecha/Hora</t>
  </si>
  <si>
    <t>País</t>
  </si>
  <si>
    <t>Departamento</t>
  </si>
  <si>
    <t>Ciudad</t>
  </si>
  <si>
    <t>Tipo Aeropuerto</t>
  </si>
  <si>
    <t>Aeropuerto</t>
  </si>
  <si>
    <t>Ruta</t>
  </si>
  <si>
    <t>Vuelo</t>
  </si>
  <si>
    <t>Ruta Aerolínea</t>
  </si>
  <si>
    <t>Tripulación</t>
  </si>
  <si>
    <t>Integrante Tripulación</t>
  </si>
  <si>
    <t>Tipo Integrante</t>
  </si>
  <si>
    <t>Aerolínea</t>
  </si>
  <si>
    <t>Fabricante</t>
  </si>
  <si>
    <t>Motor</t>
  </si>
  <si>
    <t>Matricula</t>
  </si>
  <si>
    <t>Empleado</t>
  </si>
  <si>
    <t>EmpleadoAerolinea</t>
  </si>
  <si>
    <t>Modelo</t>
  </si>
  <si>
    <t>Familia</t>
  </si>
  <si>
    <t>Hora</t>
  </si>
  <si>
    <t>Detalle Bitácora Diaria</t>
  </si>
  <si>
    <t>Bitácora Diaria</t>
  </si>
  <si>
    <t>&lt;&lt; Modelo de dominio</t>
  </si>
  <si>
    <t>Nombre</t>
  </si>
  <si>
    <t>Contexto Origen</t>
  </si>
  <si>
    <t>Descripción</t>
  </si>
  <si>
    <t>Muestreo Datos</t>
  </si>
  <si>
    <t>Caracterización</t>
  </si>
  <si>
    <t>Objeto de dominio que representa aquel grupo de personas expertas  en mantenimiento , dominio y control  tanto  en lo social como en lo aeronáutico para un bien común.</t>
  </si>
  <si>
    <t>Ver</t>
  </si>
  <si>
    <t>Objeto de dominio que representa a cada uno de los aeropuertos que están ubicados dentro de una ciudad.</t>
  </si>
  <si>
    <t>Objeto de dominio que representa la fecha, el empleado y pagina del libro sobre el vuelo realizado.</t>
  </si>
  <si>
    <t>Objeto de dominio que representa a cada una de las ciudades de los departamentos que pertenecen a un país, donde están ubicados los aeropuertos.</t>
  </si>
  <si>
    <t>Objeto de dominio que representa a cada uno de los departamentos que pertenecen a un país, donde están ubicadas las ciudades a las que pertenecen los aeropuertos.</t>
  </si>
  <si>
    <t>Objeto de dominio que representa a quien pertenece la bitácora, la información del vuelo, la matrícula de la aeronave, la tripulación y  que rango tienen, las horas de vuelo y su total.</t>
  </si>
  <si>
    <t>Objeto de dominio que representa el nombre y el código de la persona que trabaja en la aerolínea</t>
  </si>
  <si>
    <t>Empleado Aerolínea</t>
  </si>
  <si>
    <t>Objeto de dominio que representa el nombre y la fecha de inicio y salida y vigencia  de ese empleado en la aerolínea asignada</t>
  </si>
  <si>
    <t>Objeto de dominio que representa al fabricante del avión</t>
  </si>
  <si>
    <t xml:space="preserve">Objeto de dominio que representa la familia a la que pertenece el avión </t>
  </si>
  <si>
    <t>Objeto de domino que representa un código asignado a la aeronave por un país</t>
  </si>
  <si>
    <t>Objeto de dominio que representa el tipo motor y nombre  de la aeronave</t>
  </si>
  <si>
    <t>Objeto de dominio que representa que tipo de motor tiene el avión</t>
  </si>
  <si>
    <t>Objeto de dominio que representa a cada uno de los países donde están ubicados los aeropuertos.</t>
  </si>
  <si>
    <t>Objeto de dominio que representa el origen  y destino de un vuelo de un aeropuerto a otro realizado por una aerolínea nacional o internacionalmente</t>
  </si>
  <si>
    <t xml:space="preserve">Objeto de dominio que representa el trayecto que realiza un avión de una aerolínea en una cantidad determinada de vuelos </t>
  </si>
  <si>
    <t xml:space="preserve">Objeto de dominio que representa el tipo de aeronaves </t>
  </si>
  <si>
    <t>Objeto de dominio que representa el tipo de aeropuerto</t>
  </si>
  <si>
    <t>Objeto de dominio que clasifica que característica principal debe llevar un integrante que pertenece a una tripulación.</t>
  </si>
  <si>
    <t xml:space="preserve">Objeto de dominio que representa el viaje realizado en un avión por una aerolínea </t>
  </si>
  <si>
    <t>&lt;&lt; Objetos de dominio</t>
  </si>
  <si>
    <t>&lt;&lt; Muestreo Datos</t>
  </si>
  <si>
    <t>Atributo</t>
  </si>
  <si>
    <t>Tipo de Dato</t>
  </si>
  <si>
    <t>Longitud mínima</t>
  </si>
  <si>
    <t>Longitud máxima</t>
  </si>
  <si>
    <t>Precisión</t>
  </si>
  <si>
    <t>Cantidad cifras redondeo</t>
  </si>
  <si>
    <t>Tipo redondeo</t>
  </si>
  <si>
    <t>Rango Inicial</t>
  </si>
  <si>
    <t>Rango Final</t>
  </si>
  <si>
    <t>Formato</t>
  </si>
  <si>
    <t>Valor por defecto</t>
  </si>
  <si>
    <t>Regla especial</t>
  </si>
  <si>
    <t>¿Quitar espacios en blanco al inicio?</t>
  </si>
  <si>
    <t>¿Quitar espacios en blanco al final?</t>
  </si>
  <si>
    <t>¿Auto generado?</t>
  </si>
  <si>
    <t>¿Calculado?</t>
  </si>
  <si>
    <t>¿Obligatorio?</t>
  </si>
  <si>
    <t>¿Modificable?</t>
  </si>
  <si>
    <t>¿Sensible?</t>
  </si>
  <si>
    <t>¿Identifica al registro?</t>
  </si>
  <si>
    <t xml:space="preserve">XXXXXXXX-XXXX-XXXX-XXXX-XXXXXXXXXXXX
Donde X es cualquier digito o una letra de la "A" a la "F" </t>
  </si>
  <si>
    <t>Filtro/Listar/ No Mostrar</t>
  </si>
  <si>
    <t>Requerido</t>
  </si>
  <si>
    <t>Cualquier cadena que incluye caracteres alfanuméricos, espacios, tildes(A-Z / a-z)</t>
  </si>
  <si>
    <t>Filtro/Listar/Mostrar[Orden{1}/CriterioOrdenamiento{1, ASC}/BusquedaGeneral{SI}/Ordenador{SI}/Reordenamiento{NO}]</t>
  </si>
  <si>
    <t>NO Requerido</t>
  </si>
  <si>
    <t>Cualquier cadena de caracteres, formado por letras mayúsculas(A-Z).</t>
  </si>
  <si>
    <t>Filtro/Listar/Mostrar[Orden{2}/BusquedaGeneral{SI}/Ordenador{NO}/Reordenamiento{NO}]</t>
  </si>
  <si>
    <t>Filtro/Listar/No Mostrar</t>
  </si>
  <si>
    <t xml:space="preserve"> Requerido</t>
  </si>
  <si>
    <t>Combinaciones únicas</t>
  </si>
  <si>
    <t>Nombre combinación</t>
  </si>
  <si>
    <t>Atributos</t>
  </si>
  <si>
    <t>Código único</t>
  </si>
  <si>
    <t>Nombre único</t>
  </si>
  <si>
    <t>Responsabilidad</t>
  </si>
  <si>
    <t>Entradas</t>
  </si>
  <si>
    <t>Salida</t>
  </si>
  <si>
    <t>Políticas (Reglas de Negocio)</t>
  </si>
  <si>
    <t>Excepción</t>
  </si>
  <si>
    <t>Parámetro</t>
  </si>
  <si>
    <t>Tipo de dato</t>
  </si>
  <si>
    <t>Política</t>
  </si>
  <si>
    <t>Detalle</t>
  </si>
  <si>
    <t>¿Qué hago?</t>
  </si>
  <si>
    <t>Consultar la Información de la Aerolínea</t>
  </si>
  <si>
    <t>Permite consultar los detalles de una aerolínea</t>
  </si>
  <si>
    <t>Filtro</t>
  </si>
  <si>
    <t xml:space="preserve">Contiene la información de los filtros que servirán como base para llevar a cabo la consulta de la información </t>
  </si>
  <si>
    <t>Lista&lt;Aerolínea&gt;</t>
  </si>
  <si>
    <t>Contiene la información de todas las Aerolíneas que cumplen con el filtro de consulta</t>
  </si>
  <si>
    <t>Aerolínea -POL-0001</t>
  </si>
  <si>
    <t>Asegurar que los datos que fueron enviados como filtro para llevar a cabo la acción sean válidos a nivel de tipo de dato, longitud, obligatoriedad, formato y rango.</t>
  </si>
  <si>
    <t>Generar una excepción indicándole al usuario que existen problemas con los datos y de ser posible indicarle cómo solucionarlos.</t>
  </si>
  <si>
    <t>Detener operación</t>
  </si>
  <si>
    <t>Inactivar la Aerolínea</t>
  </si>
  <si>
    <t>Permite inactivar una aerolínea</t>
  </si>
  <si>
    <t>Id</t>
  </si>
  <si>
    <t>Contiene la información del identificador de la aerolínea para la cual se va a modificar la información</t>
  </si>
  <si>
    <t>Aerolínea -POL-0003</t>
  </si>
  <si>
    <t>La Aerolínea debe estar previamente activada</t>
  </si>
  <si>
    <t>Aerolínea -POL-0002</t>
  </si>
  <si>
    <t>La Aerolínea debe estar previamente registrada</t>
  </si>
  <si>
    <t>Contiene el estado lógico que se le puede  modificar a una  Aerolínea</t>
  </si>
  <si>
    <t xml:space="preserve">Activar la Aerolínea
</t>
  </si>
  <si>
    <t>Permite activar una aerolínea</t>
  </si>
  <si>
    <t>id</t>
  </si>
  <si>
    <t>Aerolinea -POL-0003</t>
  </si>
  <si>
    <t>La Aerolínea debe estar previamente inactivada</t>
  </si>
  <si>
    <t>Caracterización objeto &gt;&gt;</t>
  </si>
  <si>
    <t>Corresponde a un identificador único del parámetro dentro del objeto de dominio Parámetro.</t>
  </si>
  <si>
    <t>Corresponde al nombre de la aerolínea.</t>
  </si>
  <si>
    <t>Corresponde al código de la aerolínea.</t>
  </si>
  <si>
    <t>Indica el estado operativo de la aerolínea</t>
  </si>
  <si>
    <t>El código de la aerolínea no se puede repetir.</t>
  </si>
  <si>
    <t>El nombre de la aerolínea no se puede repetir.</t>
  </si>
  <si>
    <t>Código</t>
  </si>
  <si>
    <t>Combinación única 1</t>
  </si>
  <si>
    <t>Combinación única 2</t>
  </si>
  <si>
    <t>8574C2C9-DAED-4E5A-93E5-8EDF2661496D</t>
  </si>
  <si>
    <t>Latam Airlines</t>
  </si>
  <si>
    <t>LA</t>
  </si>
  <si>
    <t>Activa</t>
  </si>
  <si>
    <t>6633A10F-08FA-4F2C-A70A-19B160E486FA</t>
  </si>
  <si>
    <t>Avianca</t>
  </si>
  <si>
    <t>AV</t>
  </si>
  <si>
    <t xml:space="preserve">XXXXXXXX-XXXX-XXXX-XXXX-XXXXXXXXXXXX
donde X es cualquier digito o una letra de la "A" a la "Z" </t>
  </si>
  <si>
    <t xml:space="preserve">Requerido </t>
  </si>
  <si>
    <t>Filtro/Listar/Mostrar[Orden{1}/CriterioOrdenamiento{1, ASC}/BusquedaGeneral{SI}/Ordenador{NO}/Reordenamiento{NO}]</t>
  </si>
  <si>
    <t>No Requerido</t>
  </si>
  <si>
    <t>X                                                                            donde x puede ser  caracteres, formado por letras mayúsculas(A-Z).</t>
  </si>
  <si>
    <t>Filtro/Listar/Mostrar[Orden{3}/CriterioOrdenamiento{1, ASC}/BusquedaGeneral{SI}/Ordenador{NO}/Reordenamiento{NO}]</t>
  </si>
  <si>
    <t>Cualquier cadena que incluye caracteres alfanuméricos, espacios, tildes(a-z)</t>
  </si>
  <si>
    <t>Filtro/Listar/Mostrar[Orden{4}/BusquedaGeneral{NO}/Ordenador{NO}/Reordenamiento{NO} ]</t>
  </si>
  <si>
    <t>Filtro/Listar/Mostrar[Orden{5}/BusquedaGeneral{SI}/Ordenador{NO}/Reordenamiento{NO}PropiedadesMostrar{ TipoAeroperto.Nombre}]</t>
  </si>
  <si>
    <t>Aeropuerto por código Iata</t>
  </si>
  <si>
    <t>Tipo captura por libro única</t>
  </si>
  <si>
    <t>Consultar la Información del Aeropuerto</t>
  </si>
  <si>
    <t>Permite obtener  la información del aeropuerto</t>
  </si>
  <si>
    <t>filtro</t>
  </si>
  <si>
    <t>Lista&lt;Aeropuerto&gt;</t>
  </si>
  <si>
    <t>Contiene la información de todos los aeropuertos que cumplen con el filtro de consulta</t>
  </si>
  <si>
    <t>Aerolínea -POL-0004</t>
  </si>
  <si>
    <t>Generar una excepción indicándole al usuario que no tiene permisos para consultar la información</t>
  </si>
  <si>
    <t>Activar el aeropuerto</t>
  </si>
  <si>
    <t>Permite activar el aeropuerto</t>
  </si>
  <si>
    <t>Contiene la información del identificador de la aeropuerto para la cual se va a modificar la información</t>
  </si>
  <si>
    <t>Para activar un aeropuerto primero debe estar desactivado</t>
  </si>
  <si>
    <t>Contiene el estado lógico que se le puede  modificar un Aeropuerto</t>
  </si>
  <si>
    <t>Asegurar que los datos requeridos para llevar a cabo la acción sean válidos a nivel de tipo de dato, longitud, obligatoriedad, formato y rango.</t>
  </si>
  <si>
    <t>Inactivar el aeropuerto</t>
  </si>
  <si>
    <t>Permite inactivar el aeropuerto</t>
  </si>
  <si>
    <t>Contiene la información del identificador del aeropuerto para la cual se va a modificar la información</t>
  </si>
  <si>
    <t>Para desactivar un aeropuerto primero debe estar activo</t>
  </si>
  <si>
    <t>Contiene el estado lógico que se le puede  modificar a un  Aeropuerto</t>
  </si>
  <si>
    <t>Corresponde a un identificador único del aeropuerto del objeto de dominio Aeropuerto.</t>
  </si>
  <si>
    <t>Corresponde al nombre del aeropuerto .</t>
  </si>
  <si>
    <t>Código que identifica al aeropuerto, ciudades de origen y destino</t>
  </si>
  <si>
    <t>Corresponde al tipo del aeropuerto</t>
  </si>
  <si>
    <t>El Código Iata de un aeropuerto solo puede estar una vez.</t>
  </si>
  <si>
    <t>Código Iata</t>
  </si>
  <si>
    <t xml:space="preserve">Combinación única </t>
  </si>
  <si>
    <t>D2B278DF-5924-4D3D-AF73-2ABB758ED0D2</t>
  </si>
  <si>
    <t>José María Córdova</t>
  </si>
  <si>
    <t>MDE</t>
  </si>
  <si>
    <t>6F3794C7-D7BD-47CC-A4C7-39D68A90D40F</t>
  </si>
  <si>
    <t>El Dorado</t>
  </si>
  <si>
    <t>BOG</t>
  </si>
  <si>
    <t>0FC88418-DB9C-48EF-B3BE-4177FAB7CDF1</t>
  </si>
  <si>
    <t>Olaya Herrera</t>
  </si>
  <si>
    <t>EOH</t>
  </si>
  <si>
    <t>140E5509-8D5A-427F-922C-503936CD9858</t>
  </si>
  <si>
    <t>Alfonso Bonilla Aragón</t>
  </si>
  <si>
    <t>CLO</t>
  </si>
  <si>
    <t>C5F98B68-C33D-4A8C-8F45-56539A487AC0</t>
  </si>
  <si>
    <t>Ernesto Cortissoz</t>
  </si>
  <si>
    <t>BAQ</t>
  </si>
  <si>
    <t>E2EE8162-5402-46FD-8102-5A33774DB38D</t>
  </si>
  <si>
    <t>Rafael Núñez</t>
  </si>
  <si>
    <t>CTG</t>
  </si>
  <si>
    <t>7A9FAF10-985E-49A0-8FE1-729D9E4A445D</t>
  </si>
  <si>
    <t>Simón Bolívar</t>
  </si>
  <si>
    <t>SMR</t>
  </si>
  <si>
    <t>4E94BB12-36F2-476F-BF79-B6450F821DB3</t>
  </si>
  <si>
    <t>Matecaña</t>
  </si>
  <si>
    <t>PEI</t>
  </si>
  <si>
    <t>C3CE82BA-978A-44F8-943F-A6ED196DA94C</t>
  </si>
  <si>
    <t>Alfredo Vásquez Cobo</t>
  </si>
  <si>
    <t>LET</t>
  </si>
  <si>
    <t>2B64DE30-3E8A-4553-A86A-41241286288E</t>
  </si>
  <si>
    <t>Alfonso López Pumarejo</t>
  </si>
  <si>
    <t>VUP</t>
  </si>
  <si>
    <t>A881310E-568C-4EE9-ACCD-8AFA24006380</t>
  </si>
  <si>
    <t>Camilo Daza</t>
  </si>
  <si>
    <t>CUC</t>
  </si>
  <si>
    <t>924265BE-6259-4682-B94C-9AF0247121EE</t>
  </si>
  <si>
    <t>Palonegro</t>
  </si>
  <si>
    <t>BGA</t>
  </si>
  <si>
    <t>8B4AE87B-BBBE-4A31-B928-418B604134B2</t>
  </si>
  <si>
    <t>Antonio Nariño</t>
  </si>
  <si>
    <t>PSO</t>
  </si>
  <si>
    <t>C05C6FF2-0C62-4F05-A8F9-2605E5422C83</t>
  </si>
  <si>
    <t>El Alcaraván</t>
  </si>
  <si>
    <t>EYP</t>
  </si>
  <si>
    <t>CA593CA2-2EB1-4483-8E56-C6B594329F42</t>
  </si>
  <si>
    <t>El  Edén</t>
  </si>
  <si>
    <t>AXM</t>
  </si>
  <si>
    <t>8F2A4379-3CE8-4619-AC2C-DE4EC30F2F21</t>
  </si>
  <si>
    <t>los Garzones</t>
  </si>
  <si>
    <t>MTR</t>
  </si>
  <si>
    <t>CC97AE1F-A628-41C1-B8FE-65C78E09A4D0</t>
  </si>
  <si>
    <t>Gustavo Rojas Pinilla</t>
  </si>
  <si>
    <t>ADZ</t>
  </si>
  <si>
    <t>2E4F8A6D-5B91-42C3-8F7A-91C2D3E4F5A6</t>
  </si>
  <si>
    <t>Internacional de Miami</t>
  </si>
  <si>
    <t>MIA</t>
  </si>
  <si>
    <t xml:space="preserve">XXXXXXXX-XXXX-XXXX-XXXX-XXXXXXXXXXXX
donde X es cualquier digito o una letra de la "A" a la "F" </t>
  </si>
  <si>
    <t>Requerido / No modificable</t>
  </si>
  <si>
    <t>Requerido / modificable</t>
  </si>
  <si>
    <t xml:space="preserve"> No Requerido</t>
  </si>
  <si>
    <t>Filtro/Listar/Mostrar[Orden{2}/CriterioOrdenamiento{1, ASC}/BusquedaGeneral{SI}/Ordenador{NO}/Reordenamiento{NO} /PropiedadesMostrar{ Empleado.numeroIdentificacion, Empleado.Aerolinea}]</t>
  </si>
  <si>
    <t>Filtro/Listar/Mostrar[Orden{3}/BusquedaGeneral{SI}/Ordenador{SI}/Reordenamiento{NO}]</t>
  </si>
  <si>
    <t>Consultar la Información de la Bitácora Diaria</t>
  </si>
  <si>
    <t>Permite obtener toda la información de la matricula</t>
  </si>
  <si>
    <t>BitacoraDiaria</t>
  </si>
  <si>
    <t>Contiene la información de los filtros que servirán como base para llevar a cabo la consulta de la información</t>
  </si>
  <si>
    <t>Lista&lt;BiracoraDiaria&gt;</t>
  </si>
  <si>
    <t>Contiene la información  de la página  de la bitácora diaria que cumplen con el filtro de consulta</t>
  </si>
  <si>
    <t>Bitácora Diaria - POL-0001</t>
  </si>
  <si>
    <t>Agregar la  Información de la Bitácora Diaria</t>
  </si>
  <si>
    <t>Permite registrar toda la información de la bitácora de un piloto</t>
  </si>
  <si>
    <t>Datos</t>
  </si>
  <si>
    <t>Contiene los datos que se van a registrar dentro de la bitácora diaria</t>
  </si>
  <si>
    <t>Bitácora Diaria-Pol-0007</t>
  </si>
  <si>
    <t>Bitácora Diaria -POL-0002</t>
  </si>
  <si>
    <t>No puede existir más de una bitácora realizada con la misma fecha y el mismo empleado.</t>
  </si>
  <si>
    <t>Bitácora Diaria-POL-0003</t>
  </si>
  <si>
    <t>No puede existir más de una bitácora con el mismo número de página del libro.</t>
  </si>
  <si>
    <t>Bitácora Diaria -POL-0008</t>
  </si>
  <si>
    <t>No puede existir otra bitácora con el mismo identificador.</t>
  </si>
  <si>
    <t>Generar un nuevo identificador hasta garantizar que no exista.</t>
  </si>
  <si>
    <t>Continuar operación</t>
  </si>
  <si>
    <t>Editar Información Bitácora Diaria</t>
  </si>
  <si>
    <t>Permite actualizar la información de una bitácora diaria</t>
  </si>
  <si>
    <t>Contiene la información del identificador de la bitácora que se a eliminar</t>
  </si>
  <si>
    <t>Bitácora Diaria -Pol-0007</t>
  </si>
  <si>
    <t>Contiene los datos que se van a eliminar de la bitácora</t>
  </si>
  <si>
    <t>Bitácora Diaria -POL-0003</t>
  </si>
  <si>
    <t>Generar una nueva página del libro hasta garantizar que no exista.</t>
  </si>
  <si>
    <t>Editar la Informacion de la Bitacora Diaria</t>
  </si>
  <si>
    <t>Permite eliminar la información de una bitácora diaria</t>
  </si>
  <si>
    <t>Contiene la información del identificador de la bitácora diaria para la cual se va a eliminar la información</t>
  </si>
  <si>
    <t>Bitácora Diaria -POL-0007</t>
  </si>
  <si>
    <t>Activar la Bitácora Diaria</t>
  </si>
  <si>
    <t>Permite tener habilitada una página de la bitácora diaria</t>
  </si>
  <si>
    <t>Contiene la información del identificador de la bitácora diaria para la cual se va activar la información</t>
  </si>
  <si>
    <t>Contiene la información del estado booleano de la bitácora diaria para la cual se va a activar</t>
  </si>
  <si>
    <t>Bitácora Diaria -POL-0006</t>
  </si>
  <si>
    <t>La bitácora debe estar previamente inactivada.</t>
  </si>
  <si>
    <t>Inactivar la Bitácora Diaria</t>
  </si>
  <si>
    <t>Permite inhabilitar una página de la bitácora diaria para su eliminación</t>
  </si>
  <si>
    <t>Contiene la información del identificador de la bitácora diaria para la cual se va a Inactivar la información</t>
  </si>
  <si>
    <t>Contiene la información del estado booleano de la bitácora diaria para la cual se va a inactivar</t>
  </si>
  <si>
    <t>Bitácora Diaria -POL-0005</t>
  </si>
  <si>
    <t>La bitácora debe estar previamente activada.</t>
  </si>
  <si>
    <t xml:space="preserve">Corresponde a un identificador único de la cuenta dentro del objeto de dominio </t>
  </si>
  <si>
    <t xml:space="preserve">Corresponde a la fecha de la bitácora </t>
  </si>
  <si>
    <t>Corresponde al nombre del empleado de la aerolínea que llena la bitácora</t>
  </si>
  <si>
    <t xml:space="preserve">Corresponde a la página del libro del empleado </t>
  </si>
  <si>
    <t>Indica el estado operativo de la bitácora</t>
  </si>
  <si>
    <t>El nombre del empleado y la fecha de la bitácora no puede repetirse.</t>
  </si>
  <si>
    <t>El numero de la hoja del libro del empleado no puede repetirse.</t>
  </si>
  <si>
    <t>Pagina Libro</t>
  </si>
  <si>
    <t>combinación única 2</t>
  </si>
  <si>
    <t>FCDE13AF-66B1-431E-AF58-013DBB61E7F2</t>
  </si>
  <si>
    <t>01/01/2024</t>
  </si>
  <si>
    <t>176770012</t>
  </si>
  <si>
    <t>Filtro/Listar/Mostrar[Orden{1}/CriterioOrdenamiento{1, ASC}/BusquedaGeneral{SI}/Ordenador{NO}/Reordenamiento{NO} /PropiedadesMostrar{ BitacoraDiaria.Aerolinea, BitacoraDiaria.Empleado, BitacoraDiaria.Fecha}]</t>
  </si>
  <si>
    <t>Filtro/Listar/Mostrar[Orden{2}/CriterioOrdenamiento{2, ASC}/BusquedaGeneral{SI}/Ordenador{NO}/Reordenamiento{NO} /PropiedadesMostrar{ Vuelo.Fecha,Vuelo.Numero,Vuelo.RutaAerolinea}]</t>
  </si>
  <si>
    <t>Filtro/Listar/Mostrar[Orden{3}/CriterioOrdenamiento{3, ASC}/BusquedaGeneral{SI}/Ordenador{SI}/Reordenamiento{SI} ]</t>
  </si>
  <si>
    <t>Filtro/Listar/Mostrar[Orden{4}/CriterioOrdenamiento{4, ASC}/BusquedaGeneral{SI}/Ordenador{SI}/Reordenamiento{SI} ]</t>
  </si>
  <si>
    <t>Filtro/Listar/Mostrar[Orden{5}/BusquedaGeneral{NO}/Ordenador{NO}/Reordenamiento{NO} ]</t>
  </si>
  <si>
    <t>Filtro/Listar/Mostrar[Orden{6}/BusquedaGeneral{NO}/Ordenador{NO}/Reordenamiento{NO} ]</t>
  </si>
  <si>
    <t>Filtro/Listar/Mostrar[Orden{6}/BusquedaGeneral{SI}/Ordenador{NO}/Reordenamiento{NO} ]</t>
  </si>
  <si>
    <t>El numero, la ruta ,la fecha  y la matrícula de la aeronave  no pueden repetirse.</t>
  </si>
  <si>
    <t>Agregar la Información a Detalle Bitacora Diaria</t>
  </si>
  <si>
    <t>Permite Agregar la información de un empleado que ya existe en la bitácora</t>
  </si>
  <si>
    <t>datos</t>
  </si>
  <si>
    <t>DetallesBitácoraDiaria</t>
  </si>
  <si>
    <t>DetBitacora -POL-0002</t>
  </si>
  <si>
    <t>No puede existir más de una bitácora realizada con la misma fecha.</t>
  </si>
  <si>
    <t>DetBitacora-POL-0003</t>
  </si>
  <si>
    <t>No puede existir  una bitácora  con OUT,OFF,ON,IN,AIR y BLOCK  con resultados negativos</t>
  </si>
  <si>
    <t>DetBitacora-POL-0001</t>
  </si>
  <si>
    <t>DetBitacora-POL-0005</t>
  </si>
  <si>
    <t>No puede existir más de una bitácora con el mismo id</t>
  </si>
  <si>
    <t>Consultar la Información de Detalle  de la Bitácora Diaria</t>
  </si>
  <si>
    <t>Permite consultar la información de una bitácora</t>
  </si>
  <si>
    <t>Lista&lt;detalleBitácoraDiaria&gt;</t>
  </si>
  <si>
    <t>Contiene la información de todos las bitácoras diarias que cumplen con el filtro de consulta</t>
  </si>
  <si>
    <t>DetBitacora-POL-0004</t>
  </si>
  <si>
    <t xml:space="preserve">Editar la Información de Detalle Bitacora Diaria	</t>
  </si>
  <si>
    <t>Permite actualizar la información de una bitácora que ya existe</t>
  </si>
  <si>
    <t>Contiene la información del identificador del detalle bitácora que se va a editar de forma definitiva</t>
  </si>
  <si>
    <t>DetBitacora-POL-0002</t>
  </si>
  <si>
    <t>Eliminar Información de un Detalle Bitacora Diaria</t>
  </si>
  <si>
    <t>Permite eliminar un detalle de una bitácora.</t>
  </si>
  <si>
    <t>Contiene la información del identificador del detalle bitácora que se va a eliminar de forma definitiva</t>
  </si>
  <si>
    <t>DetBitacora-POL-0006</t>
  </si>
  <si>
    <t>Asegurar que el empleado no esté vinculado a un detalle bitácora Diaria</t>
  </si>
  <si>
    <t>Corresponde a un identificador único de la bitácora dentro del objeto de dominio .</t>
  </si>
  <si>
    <t>Corresponde al nombre del empleado al que le pertenece la bitácora</t>
  </si>
  <si>
    <t xml:space="preserve">Corresponde al  vuelo </t>
  </si>
  <si>
    <t>Corresponde a la fecha y hora de salida del vuelo</t>
  </si>
  <si>
    <t xml:space="preserve">Corresponde a la matrícula de la aeronave </t>
  </si>
  <si>
    <t>Corresponde al número de pasajeros</t>
  </si>
  <si>
    <t>Corresponde a la fecha y hora en la que inicia el vuelo</t>
  </si>
  <si>
    <t>Corresponde a la fecha y hora en la que se realiza el despegue</t>
  </si>
  <si>
    <t>Corresponde a la fecha y hora en la que se realiza el aterrizaje</t>
  </si>
  <si>
    <t>Corresponde a la fecha y hora en la que se realiza el aterrizaje y desembarque</t>
  </si>
  <si>
    <t>Corresponde al nombre del empleado que realizo el vuelo</t>
  </si>
  <si>
    <t>Corresponde al nombre del empleado que realizo el vuelo y aterrizo</t>
  </si>
  <si>
    <t>Corresponde al nombre del empleado que realizo el vuelo y el despegue</t>
  </si>
  <si>
    <t>Corresponde al nombre del empleado que monitorea todo durante el vuelo</t>
  </si>
  <si>
    <t xml:space="preserve">Corresponde al nombre del Capitán </t>
  </si>
  <si>
    <t>Corresponde al nombre del copiloto</t>
  </si>
  <si>
    <t>Corresponde al tiempo desde el despegue hasta el aterrizaje</t>
  </si>
  <si>
    <t xml:space="preserve">Corresponde al tiempo desde el remolque hasta el parqueo </t>
  </si>
  <si>
    <t>El número, la ruta ,la fecha  y la matrícula de la aeronave  no pueden repetirse.</t>
  </si>
  <si>
    <t>Fecha Real Salida Vuelo</t>
  </si>
  <si>
    <t>Matricula Real</t>
  </si>
  <si>
    <t>PAX</t>
  </si>
  <si>
    <t>Tiempo_Vuelo</t>
  </si>
  <si>
    <t>Hora_Despegue</t>
  </si>
  <si>
    <t>Hora_Aterrizaje</t>
  </si>
  <si>
    <t>Aterrizaje_y_desembarque</t>
  </si>
  <si>
    <t>PF</t>
  </si>
  <si>
    <t>PFL</t>
  </si>
  <si>
    <t>PFTO</t>
  </si>
  <si>
    <t>PM</t>
  </si>
  <si>
    <t>Capitán</t>
  </si>
  <si>
    <t>Copiloto</t>
  </si>
  <si>
    <t>Air</t>
  </si>
  <si>
    <t>Block</t>
  </si>
  <si>
    <t>combinación única 1</t>
  </si>
  <si>
    <t>101</t>
  </si>
  <si>
    <t xml:space="preserve"> </t>
  </si>
  <si>
    <t>DEBE SER UN CHECKBOX</t>
  </si>
  <si>
    <t>SE Escribe el nombre del compañero con quien volo(opcional)</t>
  </si>
  <si>
    <t>widget de hora</t>
  </si>
  <si>
    <t>Filtro/Listar/Mostrar[Orden{1}/CriterioOrdenamiento{1, ASC}/BusquedaGeneral{SI}/Ordenador{NO}/Reordenamiento{NO} ]</t>
  </si>
  <si>
    <t>No requerido</t>
  </si>
  <si>
    <t>Debe cumplir con el formato de un correo electrónico</t>
  </si>
  <si>
    <t>Corresponde al correo del empleado con el cual va ingresar a la plataforma</t>
  </si>
  <si>
    <t>Filtro/Listar/Mostrar[Orden{2}/CriterioOrdenamiento{2, ASC}/BusquedaGeneral{SI}/Ordenador{NO}/Reordenamiento{NO} ]</t>
  </si>
  <si>
    <t>Requerido /No modificable</t>
  </si>
  <si>
    <t xml:space="preserve">Corresponde al atributo que contiene la contraseña con la cual ingresara el usuario </t>
  </si>
  <si>
    <t>Filtro/Listar/Mostrar[Orden{3}/BusquedaGeneral{NO}/Ordenador{NO}/Reordenamiento{NO} ]</t>
  </si>
  <si>
    <t>Requerido /modificable</t>
  </si>
  <si>
    <t>Corresponde al atributo que contiene la confirmación de correo del usuario</t>
  </si>
  <si>
    <t>Año y número mes únicos</t>
  </si>
  <si>
    <t>Agregar la información de un nuevo  Empleado</t>
  </si>
  <si>
    <t>Permite agregar todos los detalles del empleado</t>
  </si>
  <si>
    <t>Empleado-POL-0001</t>
  </si>
  <si>
    <t>Empleado-POL-0002</t>
  </si>
  <si>
    <t>No puede existir más de un  Empleado con el mismo id</t>
  </si>
  <si>
    <t>Generar un nuevo identificador hasta garantizar que no exista</t>
  </si>
  <si>
    <t>Empleado-POL-0003</t>
  </si>
  <si>
    <t>No puede existir más de un  Empleado con el mismo número de identificación</t>
  </si>
  <si>
    <t>Empleado-POL-0004</t>
  </si>
  <si>
    <t>No puede existir más de un  Empleado con el mismo Email</t>
  </si>
  <si>
    <t>Consultar la Información del Empleado</t>
  </si>
  <si>
    <t>Permite revisar la información de un empleado</t>
  </si>
  <si>
    <t>Lista&lt;Empleado&gt;</t>
  </si>
  <si>
    <t>Contiene la información de todos los empleados que cumplen con el filtro de consulta</t>
  </si>
  <si>
    <t>Empleado-POL-0006</t>
  </si>
  <si>
    <t>Restablecer la Contraseña del Empleado</t>
  </si>
  <si>
    <t>Permite restablecer la contraseña de  un empleado</t>
  </si>
  <si>
    <t>Email</t>
  </si>
  <si>
    <t>Contiene el email del empleado</t>
  </si>
  <si>
    <t>Contraseña nueva</t>
  </si>
  <si>
    <t>Contiene la nueva contraseña del usuario a restablecer</t>
  </si>
  <si>
    <t>Modificar la Clave del Empleado</t>
  </si>
  <si>
    <t>Permite modificar la clave de  un empleado</t>
  </si>
  <si>
    <t>Contiene la nueva contraseña del usuario a modificar</t>
  </si>
  <si>
    <t>Contiene el email del empleado a modificar la contraseña</t>
  </si>
  <si>
    <t>Contraseña actual</t>
  </si>
  <si>
    <t>Contiene la nueva contraseña que el usuario ha de ingresar</t>
  </si>
  <si>
    <t>Autenticar la Información del Empleado</t>
  </si>
  <si>
    <t>Permite autenticar la información de un empleado</t>
  </si>
  <si>
    <t>email</t>
  </si>
  <si>
    <t>Contiene el email del empleado autenticar</t>
  </si>
  <si>
    <t>Contraseña</t>
  </si>
  <si>
    <t>Contiene la contraseña del empleado  a autenticar</t>
  </si>
  <si>
    <t>Eliminar la Información del Empleado</t>
  </si>
  <si>
    <t>Permite eliminar un empleado</t>
  </si>
  <si>
    <t>Contiene la información del identificador del empleado a que se va a eliminar de forma definitiva</t>
  </si>
  <si>
    <t>Empleado-POL-0005</t>
  </si>
  <si>
    <t>El empleado debe estar previamente autenticado</t>
  </si>
  <si>
    <t>Modificar la Información del Empleado</t>
  </si>
  <si>
    <t>Permite editar un empleado</t>
  </si>
  <si>
    <t>Contiene la información del identificador del empleado  que se va a editar de forma definitiva</t>
  </si>
  <si>
    <t>Corresponde a un identificador único del Empleado  dentro del objeto de dominio Empleado.</t>
  </si>
  <si>
    <t xml:space="preserve">Corresponde al nombre del empleado para el cual está configurado . </t>
  </si>
  <si>
    <t xml:space="preserve">Corresponde al Email del empleado. </t>
  </si>
  <si>
    <t xml:space="preserve">Corresponde a la clave del empleado . </t>
  </si>
  <si>
    <t>Corresponde al número de identificación del empleado para el cual está configurado  en la aerolínea.</t>
  </si>
  <si>
    <t>El  número de identificación de un empleado  no se puede repetir.</t>
  </si>
  <si>
    <t>Contrasena</t>
  </si>
  <si>
    <t>EmailConfimado</t>
  </si>
  <si>
    <t>numeroIdentificacion</t>
  </si>
  <si>
    <t>36E4E7C0-27B0-400E-8977-6F79F831C470</t>
  </si>
  <si>
    <t>Felipe Macea</t>
  </si>
  <si>
    <t>felipe.macea@latam.com</t>
  </si>
  <si>
    <t>Fm_Take0ff!92</t>
  </si>
  <si>
    <t>800AFA04-D194-4F8C-BAD7-B432CD0096EC</t>
  </si>
  <si>
    <t>David Oquendo</t>
  </si>
  <si>
    <t>david.oquendo@latam.com</t>
  </si>
  <si>
    <t>Do_Aviat0r#21</t>
  </si>
  <si>
    <t>1C5EA81F-0F58-4AAC-88BB-32F2CD1C7FAE</t>
  </si>
  <si>
    <t>Jaime Clavijo</t>
  </si>
  <si>
    <t>jaime.clavijo@latam.com</t>
  </si>
  <si>
    <t>Jc_Turb0Jet$84</t>
  </si>
  <si>
    <t>7CA9AD6D-C9A2-43AA-8BCF-C420E637799E</t>
  </si>
  <si>
    <t>Vladimir Ortiz</t>
  </si>
  <si>
    <t>vladimir.ortiz@latam.com</t>
  </si>
  <si>
    <t>Vo_C0ckpit*77</t>
  </si>
  <si>
    <t>5DC5CBD2-6A3D-452E-B5EF-BBFD7F1A1ACE</t>
  </si>
  <si>
    <t>Álvaro Benavides</t>
  </si>
  <si>
    <t>alvaro.benavides@latam.com</t>
  </si>
  <si>
    <t>Ab_SkYline!39</t>
  </si>
  <si>
    <t>5241341E-E691-4462-B240-0437D6D2C469</t>
  </si>
  <si>
    <t>Daniel Giraldo</t>
  </si>
  <si>
    <t>daniel.giraldo@latam.com</t>
  </si>
  <si>
    <t>Dg_Fl1ght#88</t>
  </si>
  <si>
    <t>5559007A-6D95-4778-B318-155EE40D15D6</t>
  </si>
  <si>
    <t>Jorge Ortega</t>
  </si>
  <si>
    <t>jorge.ortega@latam.com</t>
  </si>
  <si>
    <t>Jo_Runway*15</t>
  </si>
  <si>
    <t>204B9547-E169-4121-A76C-92E9CEE6DC70</t>
  </si>
  <si>
    <t>Juan Camilo Valencia</t>
  </si>
  <si>
    <t>juan.valencia@latam.com</t>
  </si>
  <si>
    <t>Jv_P1lot$66</t>
  </si>
  <si>
    <t>35C50391-2D66-4457-9162-15493731B9CB</t>
  </si>
  <si>
    <t>Paola Natalia Hoyos</t>
  </si>
  <si>
    <t>paola.hoyos@latam.com</t>
  </si>
  <si>
    <t>Ph_A1rbus!20</t>
  </si>
  <si>
    <t>0D0AAF8E-D60B-43C9-BC61-35D6D63313BE</t>
  </si>
  <si>
    <t>Luis Alejandro Vásquez</t>
  </si>
  <si>
    <t>luis.vasquez@latam.com</t>
  </si>
  <si>
    <t>Lv_Descent#42</t>
  </si>
  <si>
    <t>0609FCE1-8D96-4840-84DC-84192FF8B8B9</t>
  </si>
  <si>
    <t>José Daniel Maya</t>
  </si>
  <si>
    <t>jose.maya@latam.com</t>
  </si>
  <si>
    <t>Jm_AirTr4ffic$91</t>
  </si>
  <si>
    <t>6C18E768-C1F9-4FBF-B23C-121BF42D10EF</t>
  </si>
  <si>
    <t>Juan David Montejo</t>
  </si>
  <si>
    <t>juan.montejo@latam.com</t>
  </si>
  <si>
    <t>Jm_Alt1tude!73</t>
  </si>
  <si>
    <t>4FC19700-56F7-48E6-83DC-83D6B7A6F355</t>
  </si>
  <si>
    <t>Santiago Rojas</t>
  </si>
  <si>
    <t>santiago.rojas@latam.com</t>
  </si>
  <si>
    <t>Sr_TaXiway*98</t>
  </si>
  <si>
    <t>85D426E0-7FFC-4D2F-81D3-E09441B49B72</t>
  </si>
  <si>
    <t>Álvaro Mercado</t>
  </si>
  <si>
    <t>alvaro.mercado@latam.com</t>
  </si>
  <si>
    <t>Am_B0eing#37</t>
  </si>
  <si>
    <t>757B044C-C358-491A-AEDE-2F25A8E35760</t>
  </si>
  <si>
    <t>Juan Carlos Gutiérrez</t>
  </si>
  <si>
    <t>juan.gutierrez@latam.com</t>
  </si>
  <si>
    <t>Jg_W1ndShear!55</t>
  </si>
  <si>
    <t>76DD0164-E4D0-489F-AD91-CD5C2A72853D</t>
  </si>
  <si>
    <t>Yamil Castelblanco</t>
  </si>
  <si>
    <t>yamil.castelblanco@latam.com</t>
  </si>
  <si>
    <t>Yc_GateC0de$29</t>
  </si>
  <si>
    <t>7CDFF624-F20F-4D18-A4D2-BBC91C122B3A</t>
  </si>
  <si>
    <t>Antonio Calderón</t>
  </si>
  <si>
    <t>antonio.calderon@latam.com</t>
  </si>
  <si>
    <t>Ac_JetEng1ne*82</t>
  </si>
  <si>
    <t>5C345C78-F4DF-4B1C-AA40-8B5E4C2E9A68</t>
  </si>
  <si>
    <t>Álvaro Naranjo</t>
  </si>
  <si>
    <t>alvaro.naranjo@latam.com</t>
  </si>
  <si>
    <t>An_Cab1nCrew!70</t>
  </si>
  <si>
    <t>E4E365EF-22FF-478F-9B19-204DBA4D01C5</t>
  </si>
  <si>
    <t>Andrés Felipe Álvarez</t>
  </si>
  <si>
    <t>andres.alvarez@latam.com</t>
  </si>
  <si>
    <t xml:space="preserve">ar </t>
  </si>
  <si>
    <t>106B9AFC-D8F3-4929-933D-96407D7EB791</t>
  </si>
  <si>
    <t>José David Londoño</t>
  </si>
  <si>
    <t>jose.londono@latam.com</t>
  </si>
  <si>
    <t>Aa_Av1onics#35</t>
  </si>
  <si>
    <t>Filtro/Listar/Mostrar[Orden{1}/CriterioOrdenamiento{1, ASC}/BusquedaGeneral{SI}/Ordenador{NO}/Reordenamiento{NO} /PropiedadesMostrar{ Aerolinea.Nombre}]</t>
  </si>
  <si>
    <t>Filtro/Listar/Mostrar[Orden{2}/CriterioOrdenamiento{2, ASC}/BusquedaGeneral{SI}/Ordenador{NO}/Reordenamiento{NO} /PropiedadesMostrar{ Empleado.numeroIdentificacion}]</t>
  </si>
  <si>
    <t>empleado</t>
  </si>
  <si>
    <t>BP</t>
  </si>
  <si>
    <t>Consultar información de un empleado aerolínea</t>
  </si>
  <si>
    <t>Permite actualizar la información de un empleado que ya existe en la aerolínea</t>
  </si>
  <si>
    <t>Empleado Aerolinea</t>
  </si>
  <si>
    <t>Lista&lt;Empleado Aerolinea&gt;</t>
  </si>
  <si>
    <t>Contiene la información de todos los empleados de la Aerolínea que cumplen con el filtro de consulta</t>
  </si>
  <si>
    <t>EmpleadoAerolinea-POL-0001</t>
  </si>
  <si>
    <t xml:space="preserve">Generar una excepción indicándole al usuario que no tiene permisos para consultar la informacion de una aerolinea </t>
  </si>
  <si>
    <t>Editar Empleado Aerolínea</t>
  </si>
  <si>
    <t xml:space="preserve">Permite editar todos los detalles de un empleado de una aerolínea </t>
  </si>
  <si>
    <t>Contiene la información del identificador del empleado de la aerolínea para la cual se va a modificar la información</t>
  </si>
  <si>
    <t>EmpleadoAerolinea-POL-0003</t>
  </si>
  <si>
    <t>El empleado de la Aerolínea debe estar previamente registrado</t>
  </si>
  <si>
    <t>Contiene los datos que se van a modificar dentro de empleado aerolínea</t>
  </si>
  <si>
    <t>EmpleadoAerolinea-POL-0002</t>
  </si>
  <si>
    <t>Contiene los datos que se van a agregar para registrar un empleado aerolínea</t>
  </si>
  <si>
    <t>Empleado Aerolinea-POL-0004</t>
  </si>
  <si>
    <t>El  id de un empleado de una  aerolínea no puede repetirse</t>
  </si>
  <si>
    <t>Agregar Empleado Aerolínea</t>
  </si>
  <si>
    <t xml:space="preserve">Permite agregar todos los detalles de un empleado de una aerolínea </t>
  </si>
  <si>
    <t>Empleado Aerolinea-POL-0005</t>
  </si>
  <si>
    <t>No puede  existir más de un empleado de una aerolínea con el mismo número BP</t>
  </si>
  <si>
    <t>Activar empleado aerolínea</t>
  </si>
  <si>
    <t>Permite activar un empleado de la aerolínea</t>
  </si>
  <si>
    <t>Contiene la información del identificador del empleado  aerolínea para la cual se va a modificar la información</t>
  </si>
  <si>
    <t>EmpleadoAerolinea-POL-0006</t>
  </si>
  <si>
    <t>El empleado Aerolínea debe estar previamente inactivado</t>
  </si>
  <si>
    <t>Vigente</t>
  </si>
  <si>
    <t>Logico</t>
  </si>
  <si>
    <t>Inactivar empleado aerolínea</t>
  </si>
  <si>
    <t>Permite inactivar un empleado de la aerolínea</t>
  </si>
  <si>
    <t>EmpleadoAerolinea-POL-0007</t>
  </si>
  <si>
    <t xml:space="preserve">Corresponde a un identificador único del usuario dentro del objeto de dominio EmpleadoAerolinea. </t>
  </si>
  <si>
    <t xml:space="preserve">Corresponde a que aerolínea pertenece el usuario. </t>
  </si>
  <si>
    <t xml:space="preserve">Corresponde al número de identificación  del usuario. </t>
  </si>
  <si>
    <t xml:space="preserve">Corresponde al código de la aerolínea a la que pertenece  el empleado. </t>
  </si>
  <si>
    <t xml:space="preserve">Corresponde a la fecha de inicio  del empleado. </t>
  </si>
  <si>
    <t>Corresponde a la fecha de salida del empleado.</t>
  </si>
  <si>
    <t xml:space="preserve">Corresponde al estado actual  del empleado. </t>
  </si>
  <si>
    <t xml:space="preserve">El número de identificación del  empleado y el nombre de la aerolínea  no pueden repetirse. </t>
  </si>
  <si>
    <t xml:space="preserve">El nombre  del empleado y el código bp de la aerolínea  no pueden repetirse. </t>
  </si>
  <si>
    <t>FechaInicio</t>
  </si>
  <si>
    <t>FechaSalida</t>
  </si>
  <si>
    <t>17633023-2F0C-4883-B2A6-94EC46D49588</t>
  </si>
  <si>
    <t>49455CA1-D960-4FFF-8799-6BA3996AE49B</t>
  </si>
  <si>
    <t>el campo vigente es calculado con base en la fecha de inicio y de salida</t>
  </si>
  <si>
    <t>Consultar fabricante</t>
  </si>
  <si>
    <t>Permite consultar toda la información de un fabricante</t>
  </si>
  <si>
    <t>Lista&lt;Fabricante&gt;</t>
  </si>
  <si>
    <t>Contiene la información de todos los fabricantes que cumplen con el filtro de consulta</t>
  </si>
  <si>
    <t>Fabricante-POL-0001</t>
  </si>
  <si>
    <t>Corresponde a un identificador único de la cuenta dentro del objeto de dominio Fabricante.</t>
  </si>
  <si>
    <t xml:space="preserve">Corresponde al nombre del fabricante </t>
  </si>
  <si>
    <t>El nombre del fabricante no puede repetirse.</t>
  </si>
  <si>
    <t>Airbus</t>
  </si>
  <si>
    <t>900F4003-09DD-4D68-ABA1-027FAE2FC167</t>
  </si>
  <si>
    <t>Boeing</t>
  </si>
  <si>
    <t xml:space="preserve">b </t>
  </si>
  <si>
    <t>X###                                                                       Cualquier cadena que incluye caracteres alfanuméricos(A-Z/a-z) y espacios</t>
  </si>
  <si>
    <t>Filtro/Listar/Mostrar[Orden{2}/CriterioOrdenamiento{1, ASC}/BusquedaGeneral{SI}/Ordenador{NO}/Reordenamiento{NO}/PropiedadesMostrar{ Fabricante.Nombre,Fabricante.Fabricante}]</t>
  </si>
  <si>
    <t>Consultar información de una familia de una  aeronave</t>
  </si>
  <si>
    <t>Permite actualizar la información de una familia  que ya existe</t>
  </si>
  <si>
    <t>Lista&lt;Familia&gt;</t>
  </si>
  <si>
    <t>Contiene la información de todas las familias que cumplen con el filtro de consulta</t>
  </si>
  <si>
    <t>Familia-POL-001</t>
  </si>
  <si>
    <t xml:space="preserve">Corresponde a un identificador único de la familia a la que el avión pertenece dentro del objeto de dominio familia. </t>
  </si>
  <si>
    <t xml:space="preserve">Corresponde al nombre de familia del avión, el cual puede ser gestionado en cualquier momento. </t>
  </si>
  <si>
    <t>Corresponde al fabricante del avión.</t>
  </si>
  <si>
    <t>El nombre de la familia no se puede repetir.</t>
  </si>
  <si>
    <t>F1F81D1E-0F45-4E7F-A1AE-1F347FC5DE7A</t>
  </si>
  <si>
    <t>A318</t>
  </si>
  <si>
    <t>0E60C646-884D-44F5-8100-276CC518FB4F</t>
  </si>
  <si>
    <t>A319</t>
  </si>
  <si>
    <t>E6D0A983-8B10-4074-9016-4639C1FAB6A4</t>
  </si>
  <si>
    <t>A320</t>
  </si>
  <si>
    <t>044C4B1F-7BF9-4C34-8748-592D0198B3B3</t>
  </si>
  <si>
    <t>A321</t>
  </si>
  <si>
    <t xml:space="preserve">XXXXXXXX-XXXX-XXXX-XXXX-XXXXXXXXXXXX
donde X es cualquier digito o una letra de la "A" a la "F" </t>
  </si>
  <si>
    <t xml:space="preserve">                                                                           Cualquier cadena que incluye caracteres alfanuméricos(A-Z ) (0-9).</t>
  </si>
  <si>
    <t>Filtro/Listar/Mostrar[Orden{2}/CriterioOrdenamiento{1, ASC}/BusquedaGeneral{SI}/Ordenador{NO}/Reordenamiento{NO} /PropiedadesMostrar{ Modelo.Tipo,Modelo.Motor}]</t>
  </si>
  <si>
    <t>Filtro/Listar/Mostrar[Orden{3}/BusquedaGeneral{NO}/Ordenador{NO}/Reordenamiento{NO}/PropiedadesMostrar{ Aerolínea.Nombre} ]</t>
  </si>
  <si>
    <t>Requerido /No  modificable</t>
  </si>
  <si>
    <t>Avión por matricula, familia y modelo único</t>
  </si>
  <si>
    <t>Consultar Matricula</t>
  </si>
  <si>
    <t>Lista&lt;Matricula&gt;</t>
  </si>
  <si>
    <t>Matricula-POL-0004</t>
  </si>
  <si>
    <t>Matricula-POL-0003</t>
  </si>
  <si>
    <t>solo  personas autorizadas  pueden consultar esta información</t>
  </si>
  <si>
    <t xml:space="preserve">Generar una excepción indicándole al usuario que no tiene permisos para consultar la información de una aerolínea </t>
  </si>
  <si>
    <t>Agregar Matricula</t>
  </si>
  <si>
    <t>Permite actualizar la información de una matrícula que ya existe en la bitácora</t>
  </si>
  <si>
    <t>Matricula-POL-0001</t>
  </si>
  <si>
    <t>No puede existir más de una matrícula con el mismo id</t>
  </si>
  <si>
    <t>Matricula-POL-0002</t>
  </si>
  <si>
    <t xml:space="preserve">No deben existir matriculas duplicadas </t>
  </si>
  <si>
    <t>Actualizar Matricula</t>
  </si>
  <si>
    <t>Permite autenticar la información de una matrícula</t>
  </si>
  <si>
    <t>Corresponde a un identificador único de la matrícula de la aeronave.</t>
  </si>
  <si>
    <t>Corresponde al modelo  que tiene asociado el avión</t>
  </si>
  <si>
    <t>Corresponde al nombre de  la aerolínea a la que pertenece el avión</t>
  </si>
  <si>
    <t>Un avión no puede estar más de una vez configurado con la misma matricula y modelo</t>
  </si>
  <si>
    <t>Numero</t>
  </si>
  <si>
    <t>CC-BAQ</t>
  </si>
  <si>
    <t>0A657015-11A8-48CC-BB2B-2EB0E8CBA9F2</t>
  </si>
  <si>
    <t>CC-BAR</t>
  </si>
  <si>
    <t>1E828658-E0B7-4AD1-A33B-DEF92F245471</t>
  </si>
  <si>
    <t>CC-BAS</t>
  </si>
  <si>
    <t>A291AF6F-A4D4-4B02-85A1-ED806A0952FF</t>
  </si>
  <si>
    <t>CC-BAW</t>
  </si>
  <si>
    <t>CC-BAX</t>
  </si>
  <si>
    <t>CC-BFA</t>
  </si>
  <si>
    <t>CC-COX</t>
  </si>
  <si>
    <t>CC-CPL</t>
  </si>
  <si>
    <t>CC-CPQ</t>
  </si>
  <si>
    <t>CC-CPJ</t>
  </si>
  <si>
    <t>CC-COU</t>
  </si>
  <si>
    <t>CC-COY</t>
  </si>
  <si>
    <t>CC-COZ</t>
  </si>
  <si>
    <t>CC-CPF</t>
  </si>
  <si>
    <t>CC-CPE</t>
  </si>
  <si>
    <t>CC-BAC</t>
  </si>
  <si>
    <t>CC-BAF</t>
  </si>
  <si>
    <t>CC-BFC</t>
  </si>
  <si>
    <t>CC-BAD</t>
  </si>
  <si>
    <t>CC-CQN</t>
  </si>
  <si>
    <t>Filtro/Listar/Mostrar[Orden{1}/CriterioOrdenamiento{1, ASC}/BusquedaGeneral{SI}/Ordenador{NO}/Reordenamiento{NO}/PropiedadesMostrar{ Tipo.Nombre,Tipo.Familia}]</t>
  </si>
  <si>
    <t>Filtro/Listar/Mostrar[Orden{2}/CriterioOrdenamiento{1, ASC}/BusquedaGeneral{SI}/Ordenador{NO}/Reordenamiento{NO}/PropiedadesMostrar{ Motor.Nombre}]</t>
  </si>
  <si>
    <t>X###-###                                                                        Cualquier cadena que incluye caracteres alfanuméricos(A-Z/a-z) y espacios</t>
  </si>
  <si>
    <t>motor único</t>
  </si>
  <si>
    <t>tipo único</t>
  </si>
  <si>
    <t>Consultar  Modelo Aeronave</t>
  </si>
  <si>
    <t>Permite obtener toda la  información del modelo de una aeronave</t>
  </si>
  <si>
    <t>Lista&lt;Modelo&gt;</t>
  </si>
  <si>
    <t>Contiene la información de todos los modelos que cumplen con el filtro de consulta</t>
  </si>
  <si>
    <t>Modelo-POL-0001</t>
  </si>
  <si>
    <t>Corresponde a un identificador único del modelo del avión dentro del objeto de dominio.</t>
  </si>
  <si>
    <t>Corresponde al tipo de avión asociado ,el cual puede ser gestionado en cualquier momento.</t>
  </si>
  <si>
    <t>Corresponde al tipo de motor al cual estará asociado el modelo que puede tener y el cual puede ser gestionado en cualquier momento.</t>
  </si>
  <si>
    <t>Corresponde al nombre del modelo del avión.</t>
  </si>
  <si>
    <t>Un tipo de motor no puede estar asociado al mismo tipo de avión</t>
  </si>
  <si>
    <t>Un nombre de modelo no puede estar más de una vez asociado al mismo avión.</t>
  </si>
  <si>
    <t>CFM</t>
  </si>
  <si>
    <t>A318-112</t>
  </si>
  <si>
    <t>IAE</t>
  </si>
  <si>
    <t>A319-112</t>
  </si>
  <si>
    <t>A320-112</t>
  </si>
  <si>
    <t>A9AE7D8D-40B1-4A54-B873-268744DC9118</t>
  </si>
  <si>
    <t>A321-112</t>
  </si>
  <si>
    <t>Cualquier cadena que incluye caracteres alfanuméricos(A-Z )</t>
  </si>
  <si>
    <t>Nombre único motor</t>
  </si>
  <si>
    <t>Consultar la Información del Motor</t>
  </si>
  <si>
    <t>Permite consultar toda la información de un motor</t>
  </si>
  <si>
    <t>Lista&lt;Motor&gt;</t>
  </si>
  <si>
    <t>Motor-POL-0001</t>
  </si>
  <si>
    <t xml:space="preserve">Corresponde a un identificador único del motor dentro del objeto de dominio Motor. </t>
  </si>
  <si>
    <t xml:space="preserve">Corresponde al nombre del motor. </t>
  </si>
  <si>
    <t>El nombre del motor no puede repetirse.</t>
  </si>
  <si>
    <t>EDB33CAE-4617-43A8-85CB-7940F83984CC</t>
  </si>
  <si>
    <t>C4E27C68-1058-4988-8279-D21F817AFEF0</t>
  </si>
  <si>
    <t>Filtro/Listar/Mostrar[Orden{1}/CriterioOrdenamiento{1, ASC}/BusquedaGeneral{SI}/Ordenador{NO}/Reordenamiento{NO}/PropiedadesMostrar{ Ruta.AreopuertoOrigen,Ruta.AreopuertoDestino}]</t>
  </si>
  <si>
    <t>Filtro/Listar/Mostrar[Orden{2}/CriterioOrdenamiento{1, ASC}/BusquedaGeneral{SI}/Ordenador{NO}/Reordenamiento{NO} /PropiedadesMostrar{ Aerolinea.Código}]</t>
  </si>
  <si>
    <t>TipoAeropuerto</t>
  </si>
  <si>
    <t>Filtro/Listar/Mostrar[Orden{3}/CriterioOrdenamiento{1, ASC}/BusquedaGeneral{SI}/Ordenador{NO}/Reordenamiento{NO}/PropiedadesMostrar{ TipoAreopuerto.Nombre}]</t>
  </si>
  <si>
    <t>Filtro/Listar/Mostrar[Orden{2}/CriterioOrdenamiento{1, ASC}/BusquedaGeneral{SI}/Ordenador{NO}/Reordenamiento{NO}]</t>
  </si>
  <si>
    <t>ruta  único</t>
  </si>
  <si>
    <t>Consultar Información Ruta</t>
  </si>
  <si>
    <t>Permite obtener  toda la información de ruta</t>
  </si>
  <si>
    <t>Lista&lt;Ruta&gt;</t>
  </si>
  <si>
    <t>Contiene la información de todas las rutas que cumplen con el filtro de consulta</t>
  </si>
  <si>
    <t>Ruta-POL-0001</t>
  </si>
  <si>
    <t>Corresponde a un identificador único de la ruta de la aerolínea por el tipo de aeropuerto dentro del objeto de dominio Ruta Aerolínea.</t>
  </si>
  <si>
    <t>Corresponde al  código del aeropuerto de origen</t>
  </si>
  <si>
    <t>Corresponde al código del aeropuerto de destino</t>
  </si>
  <si>
    <t>Corresponde al tipo de vuelo que se realiza</t>
  </si>
  <si>
    <t>Corresponde al tiempo de vuelo estimado de acuerdo a la ruta</t>
  </si>
  <si>
    <t>La ruta  no se puede repetir</t>
  </si>
  <si>
    <t>Aeropuerto Origen</t>
  </si>
  <si>
    <t>Aeropuerto Destino</t>
  </si>
  <si>
    <t>Tiempo Vuelo Estimado</t>
  </si>
  <si>
    <t>6DE42A01-070F-4256-99E4-0317F8D13ED9</t>
  </si>
  <si>
    <t>2E9315D6-A79C-4400-BF86-03DC93A0E55A</t>
  </si>
  <si>
    <t>CCE52E09-6CE5-4965-BCE0-05242627135E</t>
  </si>
  <si>
    <t>F456494A-8F64-4024-A6C6-077156850674</t>
  </si>
  <si>
    <t>Corresponde a un identificador único de la ruta de la aerolínea por el tipo de aeropuerto para el capturador dentro del objeto de dominio RutaAerolinea.</t>
  </si>
  <si>
    <t>Corresponde a la ruta que hace un avión desde un aeropuerto de origen hasta llegar a uno de destino.</t>
  </si>
  <si>
    <t>Corresponde a la  ruta de la aerolínea que tiene asociada el vuelo.</t>
  </si>
  <si>
    <t>Corresponde al estado de disponibilidad  de la  ruta de la aerolínea que tiene asociada el vuelo.</t>
  </si>
  <si>
    <t>Una ruta de aerolínea  no puede tener más de una ruta repetida</t>
  </si>
  <si>
    <t>Inactiva</t>
  </si>
  <si>
    <t>1555C044-E835-403D-914A-07A722CF3E8F</t>
  </si>
  <si>
    <t>EA847C99-B894-4FAF-A24D-0890A5599D45</t>
  </si>
  <si>
    <t>29093B9A-C743-45D6-B713-091CECDCFBF6</t>
  </si>
  <si>
    <t>879201D1-2CD0-42B3-8D62-0BF215660C80</t>
  </si>
  <si>
    <t>D3937317-25B6-4660-83D8-0D13E215F5AF</t>
  </si>
  <si>
    <t>DC724C44-0545-4363-8665-0DDDBE157FF6</t>
  </si>
  <si>
    <t>16FBF74C-A15F-484A-A0D7-0DE7715C0D1F</t>
  </si>
  <si>
    <t>B248C825-D52B-4789-B190-11A27A0B9515</t>
  </si>
  <si>
    <t>676B660B-1732-4419-8E29-11FDD74289DD</t>
  </si>
  <si>
    <t>841315D4-C5C5-4458-86AC-123AE2BAE984</t>
  </si>
  <si>
    <t>Filtro/Listar/Mostrar[Orden{3}/CriterioOrdenamiento{3, ASC}/BusquedaGeneral{SI}/Ordenador{NO}/Reordenamiento{NO} ]</t>
  </si>
  <si>
    <t>Ruta aerolínea única</t>
  </si>
  <si>
    <t>Consultar la Información de la  Ruta Aerolinea</t>
  </si>
  <si>
    <t>Acción que sirve para obtener toda la información de la ruta de una RutaAerolínea.</t>
  </si>
  <si>
    <t>RutaAerolínea</t>
  </si>
  <si>
    <t>Lista&lt;RutaAerolínea&gt;</t>
  </si>
  <si>
    <t>Contiene la información de todas las RutaAerolíneas que cumplen con el filtro de consulta</t>
  </si>
  <si>
    <t>Ruta-Aerolinea-POL-008</t>
  </si>
  <si>
    <t>Activar la información de la Ruta Aerolinea</t>
  </si>
  <si>
    <t>Permite activar una rutaAreolinea</t>
  </si>
  <si>
    <t>Contiene la información del identificador de la ruta aerolínea  para la cual se va a modificar la información</t>
  </si>
  <si>
    <t>Ruta-Aerolínea -POL-0006</t>
  </si>
  <si>
    <t>Para activar un rutaAereolínea primero debe estar inactivo</t>
  </si>
  <si>
    <t>Contiene el estado lógico que se le puede  modificar una ruta aerolínea</t>
  </si>
  <si>
    <t>Ruta-Aerolínea -POL-0007</t>
  </si>
  <si>
    <t>Desactivar la información de la Ruta Aerolnea</t>
  </si>
  <si>
    <t>Permite inactivar una rutaAreolinea</t>
  </si>
  <si>
    <t>Contiene la información del identificador de la ruta aerolínea para la cual se va a modificar la información</t>
  </si>
  <si>
    <t>Para inactivar un rutaAereolínea primero debe estar activo</t>
  </si>
  <si>
    <t>Contiene el estado lógico que se le puede  modificar a un  rutaAereolínea</t>
  </si>
  <si>
    <t>Filtro/Listar/Mostrar[Orden{2}/CriterioOrdenamiento{1, ASC}/BusquedaGeneral{SI}/Ordenador{NO}/Reordenamiento{NO} /PropiedadesMostrar{ Familia.Familia}]</t>
  </si>
  <si>
    <t>Nombre tipo  único</t>
  </si>
  <si>
    <t>Consultar la Información del tipo Aeronave</t>
  </si>
  <si>
    <t>Gestionar toda la  información de un tipo de aeronave</t>
  </si>
  <si>
    <t>Lista&lt;Tipo Aeronave&gt;</t>
  </si>
  <si>
    <t>Contiene la información de todo los tipos de aeronave que cumplen con el filtro de consulta</t>
  </si>
  <si>
    <t>Tipo-POL-0001</t>
  </si>
  <si>
    <t>Inactivar la información del Tipo Aeronave</t>
  </si>
  <si>
    <t>Permite desactivar un tipo de aeronave</t>
  </si>
  <si>
    <t>Contiene la información del identificador del tipo de aeronave para el cual se va a modificar la información</t>
  </si>
  <si>
    <t>Tipo-POL-0002</t>
  </si>
  <si>
    <t xml:space="preserve">datos </t>
  </si>
  <si>
    <t>Contiene los datos que se van a modificar dentro de la Familia</t>
  </si>
  <si>
    <t>Tipo-POL-0004</t>
  </si>
  <si>
    <t>Activar la información del Tipo Aeronave</t>
  </si>
  <si>
    <t>Permite activar un tipo de aeronave</t>
  </si>
  <si>
    <t>Tipo-POL-0003</t>
  </si>
  <si>
    <t xml:space="preserve">Corresponde a un identificador único de la familia a la que el avión pertenece dentro del objeto de dominio Familia. </t>
  </si>
  <si>
    <t xml:space="preserve">Corresponde al tipo de avión, el cual puede ser gestionado en cualquier momento. </t>
  </si>
  <si>
    <t>El nombre de un avión que pertenece a una familia no se puede repetir.</t>
  </si>
  <si>
    <t>Objetos de dominio</t>
  </si>
  <si>
    <t>Acción</t>
  </si>
  <si>
    <t>Consultar la Información del Tipo Aeropuerto</t>
  </si>
  <si>
    <t>Permite consultar  los detalles de un tipo aeropuerto</t>
  </si>
  <si>
    <t>Lista&lt;TipoAeropuerto&gt;</t>
  </si>
  <si>
    <t>Contiene la información de todos los tipos de aeropuerto que cumplen con el filtro de consulta</t>
  </si>
  <si>
    <t>Tipo Aeropuerto-POL-0001</t>
  </si>
  <si>
    <t>Corresponde a un identificador único del tipo aeropuerto dentro del objeto de dominio Tipo aeropuerto.</t>
  </si>
  <si>
    <t>Corresponde al nombre que tiene un tipo de aeropuerto determinado</t>
  </si>
  <si>
    <t>El nombre del tipo de aeropuerto no se puede repetir</t>
  </si>
  <si>
    <t>Combinación única</t>
  </si>
  <si>
    <t>19C95F1C-6950-4C81-8400-568A8458EEC1</t>
  </si>
  <si>
    <t>Nacional</t>
  </si>
  <si>
    <t>F6C9E24C-990F-4990-8174-0300B333241F</t>
  </si>
  <si>
    <t>Internacional</t>
  </si>
  <si>
    <t>cualquier cadena que incluye caracteres alfanuméricos, espacios, tildes(A-Z / a-z)</t>
  </si>
  <si>
    <t>Cargo único</t>
  </si>
  <si>
    <t>Consultar Tipo Integrante</t>
  </si>
  <si>
    <t>Permite consultar toda la información de un tipo de integrante</t>
  </si>
  <si>
    <t>tipo Integrante</t>
  </si>
  <si>
    <t>Lista&lt;tipoIntegrante&gt;</t>
  </si>
  <si>
    <t>Contiene la información de todos los tipos de integrante que cumplen con el filtro de consulta</t>
  </si>
  <si>
    <t>Tipo integrante-POL-002</t>
  </si>
  <si>
    <t>Tipo integrante-POL-0001</t>
  </si>
  <si>
    <t>solo personas autorizadas  pueden consultar esta información</t>
  </si>
  <si>
    <t xml:space="preserve">Corresponde a un identificador único del usuario dentro del objeto de dominio Tipo Integrante. </t>
  </si>
  <si>
    <t xml:space="preserve">Corresponde al rol del usuario. </t>
  </si>
  <si>
    <t xml:space="preserve">El cargo de un usuario no puede repetirse. </t>
  </si>
  <si>
    <t>Cargos</t>
  </si>
  <si>
    <t xml:space="preserve">Capitán </t>
  </si>
  <si>
    <t>Filtro/Listar/Mostrar[Orden{2}/CriterioOrdenamiento{1, ASC}/BusquedaGeneral{SI}/Ordenador{NO}/Reordenamiento{NO} ]</t>
  </si>
  <si>
    <t>Filtro/Listar/Mostrar[Orden{3}/CriterioOrdenamiento{1, ASC}/BusquedaGeneral{SI}/Ordenador{NO}/Reordenamiento{NO} /PropiedadesMostrar{ RutaAreolinea.Ruta,RutaAreolinea.Aerolínea}]</t>
  </si>
  <si>
    <t xml:space="preserve"> Número de vuelo único</t>
  </si>
  <si>
    <t>Consultar la Informacion del Vuelo</t>
  </si>
  <si>
    <t>Permite obtener  toda la  información de un Vuelo.</t>
  </si>
  <si>
    <t>Lista&lt;Vuelo&gt;</t>
  </si>
  <si>
    <t>Vuelo-POL-0001</t>
  </si>
  <si>
    <t>Editar la Informacion del Vuelo</t>
  </si>
  <si>
    <t>Permite actualizar la información de un vuelo que ya existe.</t>
  </si>
  <si>
    <t>Vuelo-POL-0002</t>
  </si>
  <si>
    <t>No puede existir mas de un  vuelo  programado para el mismo piloto para el mismo dia y la misma hora</t>
  </si>
  <si>
    <t>Vuelo-POL-0003</t>
  </si>
  <si>
    <t>No puede existir mas de un  vuelo con el mismo numero de vuelo en la misma fecha y la misma aerolinea</t>
  </si>
  <si>
    <t>Vuelo-POL-0005</t>
  </si>
  <si>
    <t>Registrar la Información del Vuelo</t>
  </si>
  <si>
    <t>Permite registrar la información de un vuelo programado</t>
  </si>
  <si>
    <t>Vuelo-POL-0004</t>
  </si>
  <si>
    <t>No puede existir más de un vuelo con el mismo id</t>
  </si>
  <si>
    <t>Vuelo -POL-0003</t>
  </si>
  <si>
    <t>Vuelo -POL-0005</t>
  </si>
  <si>
    <t>Corresponde a un identificador único del vuelo que hará la ruta de la aerolínea  con el avión asignado  dentro del objeto de dominio Vuelo.</t>
  </si>
  <si>
    <t>Corresponde a la fecha de Vuelo.</t>
  </si>
  <si>
    <t>Corresponde al Numero de Vuelo.</t>
  </si>
  <si>
    <t>Corresponde a la ruta que hace la aerolínea</t>
  </si>
  <si>
    <t>Un Vuelo no puede estar más de una vez configurado el  número de vuelo junto con las horas de out,off,on,in y la fecha.</t>
  </si>
  <si>
    <t>351C880B-0421-42E7-A595-5D36F51BFA65</t>
  </si>
  <si>
    <t>5B353C4B-3114-413D-B1BE-5DAC415DC471</t>
  </si>
  <si>
    <t>F98A28B6-4229-4619-9075-5DE53E58D774</t>
  </si>
  <si>
    <t>1A4D8409-00CE-4AE1-A24B-5F04F45848AE</t>
  </si>
  <si>
    <t>2A0D0912-CD4A-4798-A5FC-63045B56B434</t>
  </si>
  <si>
    <t>0DC2E2E1-96E2-4DED-A331-634A01B185CB</t>
  </si>
  <si>
    <t>C17553F4-0F89-4B11-A719-63B99A3AB5C5</t>
  </si>
  <si>
    <t>8734D9B3-44A2-4753-A514-6574FB5F21A1</t>
  </si>
  <si>
    <t>9BFB6E99-C4C4-470C-864C-69C71C20AB3E</t>
  </si>
  <si>
    <t>99873F76-FB8E-4D73-9F7D-69F7069C22CB</t>
  </si>
  <si>
    <t>27C483F9-1BC2-4D53-8FEB-6A957947D18B</t>
  </si>
  <si>
    <t>C126DB86-5BA0-4D66-AA0F-6C9187B7E812</t>
  </si>
  <si>
    <t>22209A3F-6A45-4659-AFA9-6D89CFBA69B3</t>
  </si>
  <si>
    <t>2DE8553D-380F-4A9A-91C9-7164D5D84130</t>
  </si>
  <si>
    <t>1AF84474-BF40-4115-965A-767963876ED2</t>
  </si>
  <si>
    <t>E3D735A7-0D13-40EC-A4AF-76BF79096939</t>
  </si>
  <si>
    <t>768E0AAD-0A86-4992-A92A-78084CF9D6FC</t>
  </si>
  <si>
    <t>9BB4FA55-9E3A-43B0-87CF-78463C6950AD</t>
  </si>
  <si>
    <t>1DE7A767-5E75-4440-81B6-79B79D39687C</t>
  </si>
  <si>
    <t>8BD76D0B-5412-4497-9C39-7AED2A49C67E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</si>
</sst>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yy\ h:mm\ AM/PM;@"/>
  </numFmts>
  <fonts count="37">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i/>
      <sz val="8"/>
      <color theme="1"/>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sz val="9"/>
      <color indexed="81"/>
      <name val="Tahoma"/>
      <family val="2"/>
    </font>
    <font>
      <b/>
      <sz val="9"/>
      <color indexed="81"/>
      <name val="Tahoma"/>
      <family val="2"/>
    </font>
    <font>
      <sz val="8"/>
      <name val="Calibri"/>
      <family val="2"/>
      <scheme val="minor"/>
    </font>
    <font>
      <b/>
      <sz val="11"/>
      <color theme="10"/>
      <name val="Calibri"/>
      <family val="2"/>
      <scheme val="minor"/>
    </font>
    <font>
      <sz val="11"/>
      <color theme="10"/>
      <name val="Calibri"/>
      <family val="2"/>
      <scheme val="minor"/>
    </font>
    <font>
      <sz val="11"/>
      <color rgb="FF000000"/>
      <name val="Calibri"/>
      <family val="2"/>
      <scheme val="minor"/>
    </font>
    <font>
      <b/>
      <u/>
      <sz val="11"/>
      <color theme="10"/>
      <name val="Calibri"/>
      <family val="2"/>
      <scheme val="minor"/>
    </font>
    <font>
      <sz val="11"/>
      <name val="Calibri"/>
      <family val="2"/>
      <scheme val="minor"/>
    </font>
    <font>
      <b/>
      <sz val="10"/>
      <color rgb="FF000000"/>
      <name val="Calibri"/>
      <family val="2"/>
      <scheme val="minor"/>
    </font>
    <font>
      <sz val="10"/>
      <color rgb="FF000000"/>
      <name val="Arial"/>
      <family val="2"/>
    </font>
    <font>
      <sz val="10"/>
      <color theme="1"/>
      <name val="Arial"/>
      <family val="2"/>
    </font>
    <font>
      <sz val="11"/>
      <color rgb="FF242424"/>
      <name val="Aptos Narrow"/>
      <family val="2"/>
    </font>
    <font>
      <sz val="10"/>
      <color rgb="FF000000"/>
      <name val="Calibri"/>
      <family val="2"/>
      <scheme val="minor"/>
    </font>
    <font>
      <sz val="11"/>
      <color rgb="FF000000"/>
      <name val="Calibri"/>
      <family val="2"/>
    </font>
    <font>
      <sz val="10"/>
      <color rgb="FF000000"/>
      <name val="Arial"/>
    </font>
    <font>
      <sz val="11"/>
      <color rgb="FF242424"/>
      <name val="Aptos Narrow"/>
    </font>
    <font>
      <sz val="10"/>
      <color theme="1"/>
      <name val="Arial"/>
    </font>
    <font>
      <sz val="11"/>
      <color rgb="FF242424"/>
      <name val="Aptos Narrow"/>
      <charset val="1"/>
    </font>
    <font>
      <sz val="10"/>
      <color rgb="FF000000"/>
      <name val="Arial"/>
      <charset val="1"/>
    </font>
    <font>
      <sz val="11"/>
      <color rgb="FF242424"/>
      <name val="Calibri"/>
      <scheme val="minor"/>
    </font>
    <font>
      <sz val="11"/>
      <color rgb="FF242424"/>
      <name val="Calibri"/>
      <family val="2"/>
      <scheme val="minor"/>
    </font>
    <font>
      <sz val="10"/>
      <color rgb="FF000000"/>
      <name val="Calibri"/>
      <scheme val="minor"/>
    </font>
    <font>
      <sz val="10"/>
      <color theme="1"/>
      <name val="Calibri"/>
      <scheme val="minor"/>
    </font>
    <font>
      <sz val="10"/>
      <color rgb="FF242424"/>
      <name val="Calibri"/>
      <scheme val="minor"/>
    </font>
    <font>
      <sz val="10"/>
      <color rgb="FF000000"/>
      <name val="Calibri"/>
      <charset val="1"/>
    </font>
    <font>
      <sz val="11"/>
      <color rgb="FF000000"/>
      <name val="Calibri"/>
      <charset val="1"/>
    </font>
    <font>
      <sz val="10"/>
      <color rgb="FF242424"/>
      <name val="Aptos Narrow"/>
    </font>
    <font>
      <sz val="11"/>
      <color rgb="FF000000"/>
      <name val="Calibri"/>
    </font>
    <font>
      <sz val="11"/>
      <color theme="1"/>
      <name val="Courier New"/>
      <charset val="1"/>
    </font>
  </fonts>
  <fills count="2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A6A6A6"/>
        <bgColor rgb="FF000000"/>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8"/>
        <bgColor indexed="64"/>
      </patternFill>
    </fill>
    <fill>
      <patternFill patternType="solid">
        <fgColor rgb="FFBDD7EE"/>
        <bgColor rgb="FF000000"/>
      </patternFill>
    </fill>
    <fill>
      <patternFill patternType="solid">
        <fgColor theme="4" tint="0.59999389629810485"/>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rgb="FF000000"/>
      </left>
      <right style="thin">
        <color indexed="64"/>
      </right>
      <top/>
      <bottom/>
      <diagonal/>
    </border>
    <border>
      <left/>
      <right style="thin">
        <color rgb="FF000000"/>
      </right>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rgb="FF000000"/>
      </bottom>
      <diagonal/>
    </border>
    <border>
      <left/>
      <right style="thin">
        <color rgb="FF000000"/>
      </right>
      <top style="thin">
        <color indexed="64"/>
      </top>
      <bottom/>
      <diagonal/>
    </border>
    <border>
      <left/>
      <right style="thin">
        <color indexed="64"/>
      </right>
      <top style="thin">
        <color rgb="FF000000"/>
      </top>
      <bottom/>
      <diagonal/>
    </border>
    <border>
      <left/>
      <right style="thin">
        <color rgb="FF000000"/>
      </right>
      <top style="thin">
        <color rgb="FF000000"/>
      </top>
      <bottom style="thin">
        <color indexed="64"/>
      </bottom>
      <diagonal/>
    </border>
    <border>
      <left style="thin">
        <color indexed="64"/>
      </left>
      <right style="thin">
        <color indexed="64"/>
      </right>
      <top style="thin">
        <color rgb="FF000000"/>
      </top>
      <bottom/>
      <diagonal/>
    </border>
    <border>
      <left style="thin">
        <color rgb="FF000000"/>
      </left>
      <right style="thin">
        <color indexed="64"/>
      </right>
      <top/>
      <bottom style="thin">
        <color indexed="64"/>
      </bottom>
      <diagonal/>
    </border>
    <border>
      <left style="thin">
        <color rgb="FF000000"/>
      </left>
      <right style="thin">
        <color indexed="64"/>
      </right>
      <top/>
      <bottom style="thin">
        <color rgb="FF000000"/>
      </bottom>
      <diagonal/>
    </border>
    <border>
      <left style="thin">
        <color indexed="64"/>
      </left>
      <right/>
      <top/>
      <bottom style="thin">
        <color rgb="FF000000"/>
      </bottom>
      <diagonal/>
    </border>
    <border>
      <left/>
      <right/>
      <top/>
      <bottom style="thin">
        <color indexed="64"/>
      </bottom>
      <diagonal/>
    </border>
    <border>
      <left style="thin">
        <color indexed="64"/>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rgb="FF000000"/>
      </top>
      <bottom style="thin">
        <color rgb="FF000000"/>
      </bottom>
      <diagonal/>
    </border>
    <border>
      <left style="thin">
        <color indexed="64"/>
      </left>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indexed="64"/>
      </top>
      <bottom/>
      <diagonal/>
    </border>
    <border>
      <left/>
      <right style="thin">
        <color indexed="64"/>
      </right>
      <top style="thin">
        <color indexed="64"/>
      </top>
      <bottom style="thin">
        <color rgb="FF000000"/>
      </bottom>
      <diagonal/>
    </border>
    <border>
      <left/>
      <right/>
      <top style="thin">
        <color indexed="64"/>
      </top>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818">
    <xf numFmtId="0" fontId="0" fillId="0" borderId="0" xfId="0"/>
    <xf numFmtId="0" fontId="3" fillId="2" borderId="0" xfId="1" applyFill="1" applyBorder="1" applyAlignment="1">
      <alignment horizontal="left" vertical="center"/>
    </xf>
    <xf numFmtId="0" fontId="0" fillId="0" borderId="0" xfId="0" applyAlignment="1">
      <alignment horizontal="center" vertical="center"/>
    </xf>
    <xf numFmtId="0" fontId="3" fillId="2" borderId="0" xfId="1" applyFill="1" applyAlignment="1">
      <alignment horizontal="left" vertical="center"/>
    </xf>
    <xf numFmtId="0" fontId="0" fillId="2" borderId="0" xfId="0" applyFill="1" applyAlignment="1">
      <alignment vertical="center"/>
    </xf>
    <xf numFmtId="0" fontId="2" fillId="2" borderId="1" xfId="0" applyFont="1" applyFill="1" applyBorder="1" applyAlignment="1">
      <alignment horizontal="center" vertical="center"/>
    </xf>
    <xf numFmtId="0" fontId="0" fillId="2" borderId="1" xfId="0" applyFill="1" applyBorder="1" applyAlignment="1">
      <alignment vertical="center"/>
    </xf>
    <xf numFmtId="0" fontId="3" fillId="2" borderId="1" xfId="1" applyFill="1" applyBorder="1" applyAlignment="1">
      <alignment vertical="center"/>
    </xf>
    <xf numFmtId="0" fontId="4" fillId="3" borderId="2" xfId="0" applyFont="1" applyFill="1" applyBorder="1" applyAlignment="1">
      <alignment vertical="center"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0" fontId="2" fillId="2" borderId="5" xfId="0" applyFont="1" applyFill="1" applyBorder="1" applyAlignment="1">
      <alignment horizontal="center" vertical="center"/>
    </xf>
    <xf numFmtId="0" fontId="0" fillId="2" borderId="5" xfId="0" applyFill="1" applyBorder="1" applyAlignment="1">
      <alignment vertical="center"/>
    </xf>
    <xf numFmtId="0" fontId="0" fillId="2" borderId="7" xfId="0" applyFill="1" applyBorder="1" applyAlignment="1">
      <alignment vertical="center"/>
    </xf>
    <xf numFmtId="0" fontId="0" fillId="2" borderId="8" xfId="0" applyFill="1" applyBorder="1" applyAlignment="1">
      <alignment vertical="center"/>
    </xf>
    <xf numFmtId="0" fontId="5" fillId="4" borderId="1" xfId="0" applyFont="1" applyFill="1" applyBorder="1" applyAlignment="1">
      <alignment horizontal="center" vertical="center"/>
    </xf>
    <xf numFmtId="0" fontId="0" fillId="4" borderId="1" xfId="0" applyFill="1" applyBorder="1" applyAlignment="1">
      <alignment vertical="center"/>
    </xf>
    <xf numFmtId="0" fontId="0" fillId="4" borderId="8" xfId="0" applyFill="1" applyBorder="1" applyAlignment="1">
      <alignment vertical="center"/>
    </xf>
    <xf numFmtId="0" fontId="2" fillId="0" borderId="0" xfId="0" applyFont="1" applyAlignment="1">
      <alignment horizontal="center" vertical="center"/>
    </xf>
    <xf numFmtId="0" fontId="5" fillId="4" borderId="6" xfId="0" applyFont="1" applyFill="1" applyBorder="1" applyAlignment="1">
      <alignment horizontal="center" vertical="center"/>
    </xf>
    <xf numFmtId="0" fontId="0" fillId="4" borderId="6" xfId="0" applyFill="1" applyBorder="1" applyAlignment="1">
      <alignment vertical="center"/>
    </xf>
    <xf numFmtId="0" fontId="0" fillId="4" borderId="9" xfId="0" applyFill="1" applyBorder="1" applyAlignment="1">
      <alignment vertical="center"/>
    </xf>
    <xf numFmtId="0" fontId="4" fillId="3" borderId="10" xfId="0" applyFont="1" applyFill="1" applyBorder="1" applyAlignment="1">
      <alignment vertical="center" wrapText="1"/>
    </xf>
    <xf numFmtId="0" fontId="4" fillId="3" borderId="11" xfId="0" applyFont="1" applyFill="1" applyBorder="1" applyAlignment="1">
      <alignment vertical="center" wrapText="1"/>
    </xf>
    <xf numFmtId="0" fontId="4" fillId="3" borderId="12" xfId="0" applyFont="1" applyFill="1" applyBorder="1" applyAlignment="1">
      <alignment vertical="center" wrapText="1"/>
    </xf>
    <xf numFmtId="0" fontId="2" fillId="2"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2" borderId="0" xfId="0" applyFont="1" applyFill="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vertical="center"/>
    </xf>
    <xf numFmtId="49" fontId="0" fillId="4" borderId="6" xfId="0" applyNumberFormat="1" applyFill="1" applyBorder="1" applyAlignment="1">
      <alignment vertical="center"/>
    </xf>
    <xf numFmtId="49" fontId="4" fillId="3" borderId="10" xfId="0" applyNumberFormat="1" applyFont="1" applyFill="1" applyBorder="1" applyAlignment="1">
      <alignment vertical="center" wrapText="1"/>
    </xf>
    <xf numFmtId="49" fontId="4" fillId="3" borderId="11" xfId="0" applyNumberFormat="1" applyFont="1" applyFill="1" applyBorder="1" applyAlignment="1">
      <alignment vertical="center" wrapText="1"/>
    </xf>
    <xf numFmtId="0" fontId="0" fillId="0" borderId="1" xfId="0" applyBorder="1" applyAlignment="1">
      <alignment vertical="center"/>
    </xf>
    <xf numFmtId="0" fontId="3" fillId="2" borderId="1" xfId="1" applyFill="1" applyBorder="1" applyAlignment="1">
      <alignment vertical="center" wrapText="1"/>
    </xf>
    <xf numFmtId="0" fontId="3" fillId="2" borderId="8" xfId="1" applyFill="1" applyBorder="1" applyAlignment="1">
      <alignment vertical="center" wrapText="1"/>
    </xf>
    <xf numFmtId="0" fontId="2" fillId="7" borderId="5" xfId="0" applyFont="1" applyFill="1" applyBorder="1" applyAlignment="1">
      <alignment horizontal="center" vertical="center"/>
    </xf>
    <xf numFmtId="0" fontId="2" fillId="7" borderId="1" xfId="0" applyFont="1" applyFill="1" applyBorder="1" applyAlignment="1">
      <alignment horizontal="center" vertical="center"/>
    </xf>
    <xf numFmtId="0" fontId="0" fillId="7" borderId="5" xfId="0" applyFill="1" applyBorder="1" applyAlignment="1">
      <alignment vertical="center"/>
    </xf>
    <xf numFmtId="0" fontId="0" fillId="7" borderId="1" xfId="0" applyFill="1" applyBorder="1" applyAlignment="1">
      <alignment vertical="center"/>
    </xf>
    <xf numFmtId="0" fontId="0" fillId="7" borderId="7" xfId="0" applyFill="1" applyBorder="1" applyAlignment="1">
      <alignment vertical="center"/>
    </xf>
    <xf numFmtId="0" fontId="2" fillId="7" borderId="2" xfId="0" applyFont="1" applyFill="1" applyBorder="1" applyAlignment="1">
      <alignment horizontal="center" vertical="center"/>
    </xf>
    <xf numFmtId="0" fontId="2" fillId="7" borderId="3" xfId="0" applyFont="1" applyFill="1" applyBorder="1" applyAlignment="1">
      <alignment horizontal="center" vertical="center"/>
    </xf>
    <xf numFmtId="49" fontId="2" fillId="7" borderId="5" xfId="0" applyNumberFormat="1" applyFont="1" applyFill="1" applyBorder="1" applyAlignment="1">
      <alignment horizontal="center" vertical="center"/>
    </xf>
    <xf numFmtId="49" fontId="2" fillId="7" borderId="1" xfId="0" applyNumberFormat="1" applyFont="1" applyFill="1" applyBorder="1" applyAlignment="1">
      <alignment horizontal="center" vertical="center"/>
    </xf>
    <xf numFmtId="49" fontId="0" fillId="7" borderId="5" xfId="0" applyNumberFormat="1" applyFill="1" applyBorder="1" applyAlignment="1">
      <alignment vertical="center"/>
    </xf>
    <xf numFmtId="49" fontId="0" fillId="7" borderId="1" xfId="0" applyNumberFormat="1" applyFill="1" applyBorder="1" applyAlignment="1">
      <alignment vertical="center"/>
    </xf>
    <xf numFmtId="11" fontId="0" fillId="2" borderId="5" xfId="0" applyNumberFormat="1" applyFill="1" applyBorder="1" applyAlignment="1">
      <alignment vertical="center"/>
    </xf>
    <xf numFmtId="0" fontId="3" fillId="2" borderId="1" xfId="1" applyNumberFormat="1" applyFill="1" applyBorder="1" applyAlignment="1">
      <alignment vertical="center"/>
    </xf>
    <xf numFmtId="0" fontId="3" fillId="2" borderId="8" xfId="1" applyNumberFormat="1" applyFill="1" applyBorder="1" applyAlignment="1">
      <alignment vertical="center"/>
    </xf>
    <xf numFmtId="49" fontId="2" fillId="7" borderId="2" xfId="0" applyNumberFormat="1" applyFont="1" applyFill="1" applyBorder="1" applyAlignment="1">
      <alignment horizontal="center" vertical="center"/>
    </xf>
    <xf numFmtId="49" fontId="2" fillId="7" borderId="3" xfId="0" applyNumberFormat="1" applyFont="1" applyFill="1" applyBorder="1" applyAlignment="1">
      <alignment horizontal="center" vertical="center"/>
    </xf>
    <xf numFmtId="0" fontId="0" fillId="2" borderId="0" xfId="0" applyFill="1" applyAlignment="1">
      <alignment vertical="center" wrapText="1"/>
    </xf>
    <xf numFmtId="0" fontId="0" fillId="0" borderId="1" xfId="0" applyBorder="1" applyAlignment="1">
      <alignment horizontal="left" vertical="center"/>
    </xf>
    <xf numFmtId="0" fontId="0" fillId="0" borderId="8" xfId="0" applyBorder="1" applyAlignment="1">
      <alignment horizontal="left" vertical="center"/>
    </xf>
    <xf numFmtId="0" fontId="0" fillId="2" borderId="0" xfId="0" applyFill="1" applyAlignment="1">
      <alignment horizontal="left" vertical="center"/>
    </xf>
    <xf numFmtId="0" fontId="0" fillId="2" borderId="0" xfId="0" applyFill="1" applyAlignment="1">
      <alignment horizontal="left" vertical="center" wrapText="1"/>
    </xf>
    <xf numFmtId="0" fontId="0" fillId="0" borderId="0" xfId="0" applyAlignment="1">
      <alignment horizontal="left" vertical="center"/>
    </xf>
    <xf numFmtId="0" fontId="3" fillId="0" borderId="0" xfId="1" applyFill="1" applyAlignment="1">
      <alignment horizontal="center" vertical="center"/>
    </xf>
    <xf numFmtId="0" fontId="6" fillId="6" borderId="1" xfId="0" applyFont="1" applyFill="1" applyBorder="1" applyAlignment="1">
      <alignment vertical="center"/>
    </xf>
    <xf numFmtId="0" fontId="0" fillId="0" borderId="0" xfId="0" applyAlignment="1">
      <alignment vertic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xf numFmtId="0" fontId="7" fillId="10" borderId="5" xfId="0" applyFont="1" applyFill="1" applyBorder="1" applyAlignment="1">
      <alignment vertical="center"/>
    </xf>
    <xf numFmtId="0" fontId="7" fillId="10" borderId="1" xfId="0" applyFont="1" applyFill="1" applyBorder="1" applyAlignment="1">
      <alignment vertical="center"/>
    </xf>
    <xf numFmtId="0" fontId="7" fillId="10" borderId="1" xfId="0" quotePrefix="1" applyFont="1" applyFill="1" applyBorder="1" applyAlignment="1">
      <alignment vertical="center" wrapText="1"/>
    </xf>
    <xf numFmtId="0" fontId="7" fillId="10" borderId="1" xfId="0" applyFont="1" applyFill="1" applyBorder="1" applyAlignment="1">
      <alignment horizontal="left" vertical="center"/>
    </xf>
    <xf numFmtId="0" fontId="7" fillId="10" borderId="1" xfId="0" applyFont="1" applyFill="1" applyBorder="1" applyAlignment="1">
      <alignment vertical="center" wrapText="1"/>
    </xf>
    <xf numFmtId="0" fontId="7" fillId="10" borderId="1" xfId="0" quotePrefix="1" applyFont="1" applyFill="1" applyBorder="1" applyAlignment="1">
      <alignment vertical="center"/>
    </xf>
    <xf numFmtId="0" fontId="3" fillId="0" borderId="0" xfId="1" applyFill="1" applyAlignment="1">
      <alignment horizontal="center"/>
    </xf>
    <xf numFmtId="0" fontId="6" fillId="0" borderId="5" xfId="0" applyFont="1" applyBorder="1" applyAlignment="1">
      <alignment horizontal="center" vertical="center"/>
    </xf>
    <xf numFmtId="0" fontId="6" fillId="0" borderId="1" xfId="0" applyFont="1" applyBorder="1" applyAlignment="1">
      <alignment horizontal="center" vertical="center"/>
    </xf>
    <xf numFmtId="0" fontId="6" fillId="0" borderId="6" xfId="0" applyFont="1" applyBorder="1" applyAlignment="1">
      <alignment horizontal="center" vertical="center"/>
    </xf>
    <xf numFmtId="0" fontId="7" fillId="11" borderId="7" xfId="0" applyFont="1" applyFill="1" applyBorder="1" applyAlignment="1">
      <alignment vertical="center"/>
    </xf>
    <xf numFmtId="0" fontId="7" fillId="11" borderId="8" xfId="0" applyFont="1" applyFill="1" applyBorder="1" applyAlignment="1">
      <alignment vertical="center" wrapText="1"/>
    </xf>
    <xf numFmtId="0" fontId="3" fillId="11" borderId="9" xfId="1" applyFill="1" applyBorder="1" applyAlignment="1">
      <alignment vertical="center"/>
    </xf>
    <xf numFmtId="0" fontId="2" fillId="12" borderId="2" xfId="0" applyFont="1" applyFill="1" applyBorder="1" applyAlignment="1">
      <alignment horizontal="center" vertical="center"/>
    </xf>
    <xf numFmtId="0" fontId="2" fillId="12" borderId="3" xfId="0" applyFont="1" applyFill="1" applyBorder="1" applyAlignment="1">
      <alignment horizontal="center" vertical="center"/>
    </xf>
    <xf numFmtId="0" fontId="2" fillId="12" borderId="4" xfId="0" applyFont="1" applyFill="1" applyBorder="1" applyAlignment="1">
      <alignment horizontal="center" vertical="center"/>
    </xf>
    <xf numFmtId="0" fontId="0" fillId="0" borderId="1" xfId="0" applyBorder="1" applyAlignment="1">
      <alignment horizontal="left" vertical="center" wrapText="1"/>
    </xf>
    <xf numFmtId="0" fontId="0" fillId="0" borderId="5" xfId="0" applyBorder="1" applyAlignment="1">
      <alignment horizontal="left" vertical="center"/>
    </xf>
    <xf numFmtId="0" fontId="0" fillId="0" borderId="7" xfId="0" applyBorder="1" applyAlignment="1">
      <alignment horizontal="left" vertical="center"/>
    </xf>
    <xf numFmtId="49" fontId="7" fillId="10" borderId="5" xfId="0" applyNumberFormat="1" applyFont="1" applyFill="1" applyBorder="1" applyAlignment="1">
      <alignment vertical="center"/>
    </xf>
    <xf numFmtId="0" fontId="7" fillId="11" borderId="1" xfId="0" applyFont="1" applyFill="1" applyBorder="1" applyAlignment="1">
      <alignment vertical="center" wrapText="1"/>
    </xf>
    <xf numFmtId="0" fontId="7" fillId="11" borderId="5" xfId="0" applyFont="1" applyFill="1" applyBorder="1" applyAlignment="1">
      <alignment vertical="center"/>
    </xf>
    <xf numFmtId="0" fontId="3" fillId="11" borderId="6" xfId="1" applyFill="1" applyBorder="1" applyAlignment="1">
      <alignment vertical="center"/>
    </xf>
    <xf numFmtId="0" fontId="6" fillId="8" borderId="4" xfId="0" applyFont="1" applyFill="1" applyBorder="1" applyAlignment="1">
      <alignment horizontal="center" vertical="center" wrapText="1"/>
    </xf>
    <xf numFmtId="0" fontId="7" fillId="10" borderId="6" xfId="0" applyFont="1" applyFill="1" applyBorder="1" applyAlignment="1">
      <alignment vertical="center" wrapText="1"/>
    </xf>
    <xf numFmtId="0" fontId="7" fillId="10" borderId="7" xfId="0" applyFont="1" applyFill="1" applyBorder="1" applyAlignment="1">
      <alignment vertical="center"/>
    </xf>
    <xf numFmtId="0" fontId="7" fillId="10" borderId="8" xfId="0" applyFont="1" applyFill="1" applyBorder="1" applyAlignment="1">
      <alignment vertical="center"/>
    </xf>
    <xf numFmtId="0" fontId="7" fillId="10" borderId="8" xfId="0" quotePrefix="1" applyFont="1" applyFill="1" applyBorder="1" applyAlignment="1">
      <alignment vertical="center"/>
    </xf>
    <xf numFmtId="0" fontId="7" fillId="10" borderId="8" xfId="0" applyFont="1" applyFill="1" applyBorder="1" applyAlignment="1">
      <alignment horizontal="left" vertical="center"/>
    </xf>
    <xf numFmtId="0" fontId="7" fillId="10" borderId="9" xfId="0" applyFont="1" applyFill="1" applyBorder="1" applyAlignment="1">
      <alignment vertical="center" wrapText="1"/>
    </xf>
    <xf numFmtId="49" fontId="7" fillId="10" borderId="6" xfId="0" applyNumberFormat="1" applyFont="1" applyFill="1" applyBorder="1" applyAlignment="1">
      <alignment vertical="center" wrapText="1"/>
    </xf>
    <xf numFmtId="0" fontId="6" fillId="6" borderId="13" xfId="0" applyFont="1" applyFill="1" applyBorder="1" applyAlignment="1">
      <alignment vertical="center"/>
    </xf>
    <xf numFmtId="0" fontId="7" fillId="10" borderId="5" xfId="0" applyFont="1" applyFill="1" applyBorder="1" applyAlignment="1">
      <alignment vertical="center" wrapText="1"/>
    </xf>
    <xf numFmtId="0" fontId="3" fillId="10" borderId="1" xfId="1" applyFill="1" applyBorder="1" applyAlignment="1">
      <alignment vertical="center"/>
    </xf>
    <xf numFmtId="0" fontId="3" fillId="10" borderId="8" xfId="1" applyFill="1" applyBorder="1" applyAlignment="1">
      <alignment vertical="center"/>
    </xf>
    <xf numFmtId="0" fontId="7" fillId="10" borderId="6" xfId="0" applyFont="1" applyFill="1" applyBorder="1" applyAlignment="1">
      <alignment horizontal="left" vertical="center" wrapText="1"/>
    </xf>
    <xf numFmtId="0" fontId="7" fillId="10" borderId="9" xfId="0" applyFont="1" applyFill="1" applyBorder="1" applyAlignment="1">
      <alignment horizontal="left" vertical="center" wrapText="1"/>
    </xf>
    <xf numFmtId="0" fontId="2" fillId="0" borderId="1" xfId="0" applyFont="1" applyBorder="1" applyAlignment="1">
      <alignment horizontal="center" vertical="center"/>
    </xf>
    <xf numFmtId="0" fontId="3" fillId="2" borderId="3" xfId="1" applyFill="1" applyBorder="1" applyAlignment="1">
      <alignment horizontal="center" vertical="center"/>
    </xf>
    <xf numFmtId="0" fontId="2" fillId="2" borderId="3" xfId="0" applyFont="1" applyFill="1" applyBorder="1" applyAlignment="1">
      <alignment horizontal="center" vertical="center"/>
    </xf>
    <xf numFmtId="0" fontId="3" fillId="2" borderId="1" xfId="1" applyFill="1" applyBorder="1" applyAlignment="1">
      <alignment horizontal="center" vertical="center"/>
    </xf>
    <xf numFmtId="0" fontId="11" fillId="2" borderId="1" xfId="1" applyFont="1" applyFill="1" applyBorder="1" applyAlignment="1">
      <alignment horizontal="center" vertical="center"/>
    </xf>
    <xf numFmtId="0" fontId="2" fillId="13" borderId="1" xfId="0" applyFont="1" applyFill="1" applyBorder="1" applyAlignment="1">
      <alignment horizontal="center" vertical="center"/>
    </xf>
    <xf numFmtId="0" fontId="0" fillId="0" borderId="15" xfId="0" applyBorder="1"/>
    <xf numFmtId="0" fontId="0" fillId="0" borderId="16" xfId="0" applyBorder="1"/>
    <xf numFmtId="49" fontId="0" fillId="0" borderId="1" xfId="0" applyNumberFormat="1" applyBorder="1" applyAlignment="1">
      <alignment horizontal="center" vertical="center"/>
    </xf>
    <xf numFmtId="1" fontId="3" fillId="0" borderId="19" xfId="1" applyNumberFormat="1" applyBorder="1"/>
    <xf numFmtId="14" fontId="7" fillId="10" borderId="5" xfId="0" applyNumberFormat="1" applyFont="1" applyFill="1" applyBorder="1" applyAlignment="1">
      <alignment vertical="center"/>
    </xf>
    <xf numFmtId="0" fontId="12" fillId="10" borderId="1" xfId="1" applyFont="1" applyFill="1" applyBorder="1" applyAlignment="1">
      <alignment vertical="center"/>
    </xf>
    <xf numFmtId="14" fontId="2" fillId="2" borderId="1" xfId="0" applyNumberFormat="1" applyFont="1" applyFill="1" applyBorder="1" applyAlignment="1">
      <alignment horizontal="center" vertical="center"/>
    </xf>
    <xf numFmtId="0" fontId="2" fillId="0" borderId="23" xfId="0" applyFont="1" applyBorder="1" applyAlignment="1">
      <alignment horizontal="center"/>
    </xf>
    <xf numFmtId="0" fontId="2" fillId="10" borderId="1" xfId="0" applyFont="1" applyFill="1" applyBorder="1" applyAlignment="1">
      <alignment horizontal="center" vertical="center"/>
    </xf>
    <xf numFmtId="0" fontId="3" fillId="0" borderId="15" xfId="1" applyBorder="1"/>
    <xf numFmtId="0" fontId="0" fillId="10" borderId="1" xfId="0" applyFill="1" applyBorder="1" applyAlignment="1">
      <alignment vertical="center"/>
    </xf>
    <xf numFmtId="0" fontId="13" fillId="14" borderId="5" xfId="0" applyFont="1" applyFill="1" applyBorder="1" applyAlignment="1">
      <alignment vertical="center"/>
    </xf>
    <xf numFmtId="20" fontId="3" fillId="0" borderId="18" xfId="1" applyNumberFormat="1" applyBorder="1"/>
    <xf numFmtId="0" fontId="3" fillId="0" borderId="3" xfId="1" applyFill="1" applyBorder="1" applyAlignment="1">
      <alignment horizontal="center" vertical="center"/>
    </xf>
    <xf numFmtId="0" fontId="3" fillId="0" borderId="1" xfId="1" applyFill="1" applyBorder="1" applyAlignment="1">
      <alignment vertical="center"/>
    </xf>
    <xf numFmtId="0" fontId="0" fillId="0" borderId="17" xfId="0" applyBorder="1" applyAlignment="1">
      <alignment horizontal="left" vertical="center"/>
    </xf>
    <xf numFmtId="0" fontId="0" fillId="0" borderId="1" xfId="0" applyBorder="1" applyAlignment="1">
      <alignment horizontal="center" vertical="center"/>
    </xf>
    <xf numFmtId="0" fontId="0" fillId="0" borderId="13" xfId="0" applyBorder="1" applyAlignment="1">
      <alignment horizontal="left" vertical="center"/>
    </xf>
    <xf numFmtId="0" fontId="5" fillId="15" borderId="4" xfId="0" applyFont="1" applyFill="1" applyBorder="1" applyAlignment="1">
      <alignment horizontal="center" vertical="center"/>
    </xf>
    <xf numFmtId="0" fontId="0" fillId="15" borderId="6" xfId="0" applyFill="1" applyBorder="1" applyAlignment="1">
      <alignment vertical="center"/>
    </xf>
    <xf numFmtId="164" fontId="0" fillId="0" borderId="1" xfId="0" applyNumberFormat="1" applyBorder="1" applyAlignment="1">
      <alignment horizontal="center"/>
    </xf>
    <xf numFmtId="0" fontId="2" fillId="0" borderId="0" xfId="0" applyFont="1" applyAlignment="1">
      <alignment horizontal="center"/>
    </xf>
    <xf numFmtId="0" fontId="3" fillId="0" borderId="23" xfId="1" applyBorder="1" applyAlignment="1">
      <alignment horizontal="center"/>
    </xf>
    <xf numFmtId="49" fontId="3" fillId="7" borderId="3" xfId="1" applyNumberFormat="1" applyFill="1" applyBorder="1" applyAlignment="1">
      <alignment horizontal="center" vertical="center"/>
    </xf>
    <xf numFmtId="49" fontId="0" fillId="2" borderId="1" xfId="0" applyNumberFormat="1" applyFill="1" applyBorder="1" applyAlignment="1">
      <alignment vertical="center"/>
    </xf>
    <xf numFmtId="49" fontId="0" fillId="2" borderId="1" xfId="0" applyNumberFormat="1" applyFill="1" applyBorder="1" applyAlignment="1">
      <alignment horizontal="center" vertical="center"/>
    </xf>
    <xf numFmtId="164" fontId="0" fillId="2" borderId="0" xfId="0" applyNumberFormat="1" applyFill="1" applyAlignment="1">
      <alignment vertical="center"/>
    </xf>
    <xf numFmtId="164" fontId="0" fillId="0" borderId="1" xfId="0" applyNumberFormat="1" applyBorder="1" applyAlignment="1">
      <alignment horizontal="left"/>
    </xf>
    <xf numFmtId="49" fontId="3" fillId="2" borderId="1" xfId="1" applyNumberFormat="1" applyFill="1" applyBorder="1" applyAlignment="1">
      <alignment horizontal="center" vertical="center"/>
    </xf>
    <xf numFmtId="14" fontId="3" fillId="2" borderId="1" xfId="1" applyNumberFormat="1" applyFill="1" applyBorder="1" applyAlignment="1">
      <alignment vertical="center"/>
    </xf>
    <xf numFmtId="0" fontId="15" fillId="4" borderId="1" xfId="0" applyFont="1" applyFill="1" applyBorder="1" applyAlignment="1">
      <alignment vertical="center"/>
    </xf>
    <xf numFmtId="0" fontId="0" fillId="13" borderId="1" xfId="0" applyFill="1" applyBorder="1" applyAlignment="1">
      <alignment horizontal="center" vertical="center"/>
    </xf>
    <xf numFmtId="49" fontId="3" fillId="11" borderId="9" xfId="1" applyNumberFormat="1" applyFill="1" applyBorder="1" applyAlignment="1">
      <alignment vertical="center"/>
    </xf>
    <xf numFmtId="0" fontId="3" fillId="11" borderId="21" xfId="1" applyFill="1" applyBorder="1" applyAlignment="1">
      <alignment vertical="center"/>
    </xf>
    <xf numFmtId="0" fontId="3" fillId="11" borderId="22" xfId="1" applyFill="1" applyBorder="1" applyAlignment="1">
      <alignment vertical="center"/>
    </xf>
    <xf numFmtId="0" fontId="7" fillId="10" borderId="8" xfId="0" applyFont="1" applyFill="1" applyBorder="1" applyAlignment="1">
      <alignment vertical="center" wrapText="1"/>
    </xf>
    <xf numFmtId="0" fontId="7" fillId="18" borderId="7" xfId="0" applyFont="1" applyFill="1" applyBorder="1" applyAlignment="1">
      <alignment vertical="center"/>
    </xf>
    <xf numFmtId="0" fontId="7" fillId="18" borderId="8" xfId="0" applyFont="1" applyFill="1" applyBorder="1" applyAlignment="1">
      <alignment vertical="center" wrapText="1"/>
    </xf>
    <xf numFmtId="0" fontId="3" fillId="18" borderId="9" xfId="1" applyFill="1" applyBorder="1" applyAlignment="1">
      <alignment vertical="center"/>
    </xf>
    <xf numFmtId="0" fontId="0" fillId="0" borderId="1" xfId="0" applyBorder="1" applyAlignment="1">
      <alignment horizontal="center"/>
    </xf>
    <xf numFmtId="14" fontId="0" fillId="0" borderId="16" xfId="0" applyNumberFormat="1" applyBorder="1" applyAlignment="1">
      <alignment horizontal="center"/>
    </xf>
    <xf numFmtId="0" fontId="3" fillId="0" borderId="15" xfId="1" applyNumberFormat="1" applyBorder="1" applyAlignment="1">
      <alignment horizontal="center"/>
    </xf>
    <xf numFmtId="0" fontId="12" fillId="10" borderId="8" xfId="1" applyFont="1" applyFill="1" applyBorder="1" applyAlignment="1">
      <alignment vertical="center"/>
    </xf>
    <xf numFmtId="49" fontId="0" fillId="0" borderId="0" xfId="0" applyNumberFormat="1" applyAlignment="1">
      <alignment vertical="center"/>
    </xf>
    <xf numFmtId="0" fontId="16" fillId="19" borderId="26" xfId="0" applyFont="1" applyFill="1" applyBorder="1" applyAlignment="1">
      <alignment horizontal="left" vertical="center" wrapText="1"/>
    </xf>
    <xf numFmtId="0" fontId="15" fillId="2" borderId="3" xfId="1" applyFont="1" applyFill="1" applyBorder="1" applyAlignment="1">
      <alignment horizontal="center" vertical="center"/>
    </xf>
    <xf numFmtId="0" fontId="12" fillId="0" borderId="0" xfId="1" applyFont="1" applyFill="1" applyAlignment="1">
      <alignment horizontal="center"/>
    </xf>
    <xf numFmtId="0" fontId="0" fillId="0" borderId="0" xfId="0" applyAlignment="1">
      <alignment wrapText="1"/>
    </xf>
    <xf numFmtId="0" fontId="0" fillId="2" borderId="29" xfId="0" applyFill="1" applyBorder="1" applyAlignment="1">
      <alignment wrapText="1"/>
    </xf>
    <xf numFmtId="0" fontId="0" fillId="20" borderId="29" xfId="0" applyFill="1" applyBorder="1" applyAlignment="1">
      <alignment horizontal="center" wrapText="1"/>
    </xf>
    <xf numFmtId="0" fontId="0" fillId="20" borderId="37" xfId="0" applyFill="1" applyBorder="1" applyAlignment="1">
      <alignment horizontal="center" wrapText="1"/>
    </xf>
    <xf numFmtId="0" fontId="0" fillId="20" borderId="32" xfId="0" applyFill="1" applyBorder="1"/>
    <xf numFmtId="0" fontId="0" fillId="20" borderId="37" xfId="0" applyFill="1" applyBorder="1"/>
    <xf numFmtId="0" fontId="0" fillId="20" borderId="37" xfId="0" applyFill="1" applyBorder="1" applyAlignment="1">
      <alignment wrapText="1"/>
    </xf>
    <xf numFmtId="0" fontId="0" fillId="20" borderId="31" xfId="0" applyFill="1" applyBorder="1" applyAlignment="1">
      <alignment wrapText="1"/>
    </xf>
    <xf numFmtId="0" fontId="0" fillId="20" borderId="0" xfId="0" applyFill="1" applyAlignment="1">
      <alignment wrapText="1"/>
    </xf>
    <xf numFmtId="0" fontId="17" fillId="2" borderId="32" xfId="0" applyFont="1" applyFill="1" applyBorder="1" applyAlignment="1">
      <alignment horizontal="center" vertical="center" wrapText="1"/>
    </xf>
    <xf numFmtId="0" fontId="17" fillId="2" borderId="29"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0" fillId="20" borderId="33" xfId="0" applyFill="1" applyBorder="1"/>
    <xf numFmtId="0" fontId="7" fillId="2" borderId="27" xfId="0" applyFont="1" applyFill="1" applyBorder="1" applyAlignment="1">
      <alignment horizontal="center" vertical="center" wrapText="1"/>
    </xf>
    <xf numFmtId="0" fontId="0" fillId="2" borderId="31" xfId="0" applyFill="1" applyBorder="1" applyAlignment="1">
      <alignment vertical="center"/>
    </xf>
    <xf numFmtId="0" fontId="0" fillId="2" borderId="38" xfId="0" applyFill="1" applyBorder="1" applyAlignment="1">
      <alignment vertical="center"/>
    </xf>
    <xf numFmtId="0" fontId="0" fillId="20" borderId="29" xfId="0" applyFill="1" applyBorder="1"/>
    <xf numFmtId="0" fontId="7" fillId="2" borderId="32" xfId="0" applyFont="1" applyFill="1" applyBorder="1" applyAlignment="1">
      <alignment horizontal="center" vertical="center" wrapText="1"/>
    </xf>
    <xf numFmtId="0" fontId="0" fillId="2" borderId="32" xfId="0" applyFill="1" applyBorder="1" applyAlignment="1">
      <alignment horizontal="center" vertical="center" wrapText="1"/>
    </xf>
    <xf numFmtId="0" fontId="7" fillId="2" borderId="39" xfId="0" applyFont="1" applyFill="1" applyBorder="1" applyAlignment="1">
      <alignment horizontal="center" vertical="center" wrapText="1"/>
    </xf>
    <xf numFmtId="0" fontId="7" fillId="2" borderId="37" xfId="0" applyFont="1" applyFill="1" applyBorder="1" applyAlignment="1">
      <alignment horizontal="center" vertical="center" wrapText="1"/>
    </xf>
    <xf numFmtId="0" fontId="18" fillId="2" borderId="32" xfId="0" applyFont="1" applyFill="1" applyBorder="1" applyAlignment="1">
      <alignment horizontal="center" vertical="center"/>
    </xf>
    <xf numFmtId="0" fontId="18" fillId="2" borderId="35" xfId="0" applyFont="1" applyFill="1" applyBorder="1" applyAlignment="1">
      <alignment horizontal="center" vertical="center"/>
    </xf>
    <xf numFmtId="0" fontId="0" fillId="2" borderId="35" xfId="0" applyFill="1" applyBorder="1" applyAlignment="1">
      <alignment horizontal="center" vertical="center" wrapText="1"/>
    </xf>
    <xf numFmtId="0" fontId="0" fillId="2" borderId="29" xfId="0" applyFill="1" applyBorder="1"/>
    <xf numFmtId="0" fontId="0" fillId="2" borderId="30" xfId="0" applyFill="1" applyBorder="1"/>
    <xf numFmtId="0" fontId="0" fillId="2" borderId="32" xfId="0" applyFill="1" applyBorder="1"/>
    <xf numFmtId="0" fontId="0" fillId="2" borderId="35" xfId="0" applyFill="1" applyBorder="1"/>
    <xf numFmtId="0" fontId="7" fillId="2" borderId="40" xfId="0" applyFont="1" applyFill="1" applyBorder="1" applyAlignment="1">
      <alignment horizontal="center" vertical="center" wrapText="1"/>
    </xf>
    <xf numFmtId="0" fontId="0" fillId="2" borderId="31" xfId="0" applyFill="1" applyBorder="1"/>
    <xf numFmtId="0" fontId="0" fillId="2" borderId="32" xfId="0" applyFill="1" applyBorder="1" applyAlignment="1">
      <alignment wrapText="1"/>
    </xf>
    <xf numFmtId="0" fontId="0" fillId="2" borderId="35" xfId="0" applyFill="1" applyBorder="1" applyAlignment="1">
      <alignment wrapText="1"/>
    </xf>
    <xf numFmtId="0" fontId="0" fillId="2" borderId="38" xfId="0" applyFill="1" applyBorder="1"/>
    <xf numFmtId="0" fontId="0" fillId="2" borderId="29" xfId="0" applyFill="1" applyBorder="1" applyAlignment="1">
      <alignment vertical="center"/>
    </xf>
    <xf numFmtId="0" fontId="0" fillId="20" borderId="33" xfId="0" applyFill="1" applyBorder="1" applyAlignment="1">
      <alignment wrapText="1"/>
    </xf>
    <xf numFmtId="0" fontId="0" fillId="20" borderId="29" xfId="0" applyFill="1" applyBorder="1" applyAlignment="1">
      <alignment wrapText="1"/>
    </xf>
    <xf numFmtId="0" fontId="0" fillId="2" borderId="30" xfId="0" applyFill="1" applyBorder="1" applyAlignment="1">
      <alignment wrapText="1"/>
    </xf>
    <xf numFmtId="0" fontId="7" fillId="2" borderId="0" xfId="0" applyFont="1" applyFill="1" applyAlignment="1">
      <alignment horizontal="center" vertical="center" wrapText="1"/>
    </xf>
    <xf numFmtId="0" fontId="17" fillId="2" borderId="38" xfId="0" applyFont="1" applyFill="1" applyBorder="1" applyAlignment="1">
      <alignment horizontal="center" vertical="center" wrapText="1"/>
    </xf>
    <xf numFmtId="0" fontId="0" fillId="2" borderId="38" xfId="0" applyFill="1" applyBorder="1" applyAlignment="1">
      <alignment horizontal="center" vertical="center" wrapText="1" indent="1"/>
    </xf>
    <xf numFmtId="0" fontId="0" fillId="2" borderId="36" xfId="0" applyFill="1" applyBorder="1" applyAlignment="1">
      <alignment horizontal="center" vertical="center" wrapText="1" indent="1"/>
    </xf>
    <xf numFmtId="0" fontId="0" fillId="2" borderId="37" xfId="0" applyFill="1" applyBorder="1"/>
    <xf numFmtId="0" fontId="0" fillId="2" borderId="33" xfId="0" applyFill="1" applyBorder="1"/>
    <xf numFmtId="0" fontId="0" fillId="2" borderId="36" xfId="0" applyFill="1" applyBorder="1"/>
    <xf numFmtId="0" fontId="0" fillId="2" borderId="36" xfId="0" applyFill="1" applyBorder="1" applyAlignment="1">
      <alignment wrapText="1"/>
    </xf>
    <xf numFmtId="0" fontId="0" fillId="2" borderId="34" xfId="0" applyFill="1" applyBorder="1"/>
    <xf numFmtId="0" fontId="19" fillId="0" borderId="0" xfId="0" applyFont="1" applyAlignment="1">
      <alignment wrapText="1"/>
    </xf>
    <xf numFmtId="0" fontId="0" fillId="2" borderId="26" xfId="0" applyFill="1" applyBorder="1" applyAlignment="1">
      <alignment wrapText="1"/>
    </xf>
    <xf numFmtId="0" fontId="0" fillId="2" borderId="26" xfId="0" applyFill="1" applyBorder="1"/>
    <xf numFmtId="0" fontId="7" fillId="2" borderId="28" xfId="0" applyFont="1" applyFill="1" applyBorder="1" applyAlignment="1">
      <alignment horizontal="center" vertical="center" wrapText="1"/>
    </xf>
    <xf numFmtId="0" fontId="0" fillId="0" borderId="33" xfId="0" applyBorder="1" applyAlignment="1">
      <alignment wrapText="1"/>
    </xf>
    <xf numFmtId="0" fontId="0" fillId="2" borderId="34" xfId="0" applyFill="1" applyBorder="1" applyAlignment="1">
      <alignment wrapText="1"/>
    </xf>
    <xf numFmtId="0" fontId="17" fillId="2" borderId="30" xfId="0" applyFont="1" applyFill="1" applyBorder="1" applyAlignment="1">
      <alignment horizontal="center" vertical="center" wrapText="1"/>
    </xf>
    <xf numFmtId="0" fontId="0" fillId="2" borderId="38" xfId="0" applyFill="1" applyBorder="1" applyAlignment="1">
      <alignment horizontal="center" vertical="center" wrapText="1"/>
    </xf>
    <xf numFmtId="0" fontId="0" fillId="2" borderId="0" xfId="0" applyFill="1"/>
    <xf numFmtId="0" fontId="0" fillId="2" borderId="33" xfId="0" applyFill="1" applyBorder="1" applyAlignment="1">
      <alignment vertical="center"/>
    </xf>
    <xf numFmtId="0" fontId="0" fillId="2" borderId="27" xfId="0" applyFill="1" applyBorder="1"/>
    <xf numFmtId="0" fontId="0" fillId="2" borderId="28" xfId="0" applyFill="1" applyBorder="1" applyAlignment="1">
      <alignment vertical="center"/>
    </xf>
    <xf numFmtId="0" fontId="0" fillId="2" borderId="33" xfId="0" applyFill="1" applyBorder="1" applyAlignment="1">
      <alignment wrapText="1"/>
    </xf>
    <xf numFmtId="0" fontId="20" fillId="2" borderId="32" xfId="0" applyFont="1" applyFill="1" applyBorder="1" applyAlignment="1">
      <alignment vertical="center" wrapText="1"/>
    </xf>
    <xf numFmtId="0" fontId="0" fillId="2" borderId="38" xfId="0" applyFill="1" applyBorder="1" applyAlignment="1">
      <alignment wrapText="1"/>
    </xf>
    <xf numFmtId="0" fontId="7" fillId="2" borderId="13" xfId="0" applyFont="1" applyFill="1" applyBorder="1" applyAlignment="1">
      <alignment horizontal="center" vertical="center" wrapText="1"/>
    </xf>
    <xf numFmtId="0" fontId="0" fillId="2" borderId="39" xfId="0" applyFill="1" applyBorder="1" applyAlignment="1">
      <alignment horizontal="center" vertical="center" wrapText="1"/>
    </xf>
    <xf numFmtId="0" fontId="0" fillId="2" borderId="33" xfId="0" applyFill="1" applyBorder="1" applyAlignment="1">
      <alignment horizontal="center" vertical="center" wrapText="1"/>
    </xf>
    <xf numFmtId="0" fontId="7" fillId="2" borderId="43" xfId="0" applyFont="1" applyFill="1" applyBorder="1" applyAlignment="1">
      <alignment horizontal="center" vertical="center" wrapText="1"/>
    </xf>
    <xf numFmtId="0" fontId="0" fillId="2" borderId="29" xfId="0" applyFill="1" applyBorder="1" applyAlignment="1">
      <alignment horizontal="center" vertical="center" wrapText="1"/>
    </xf>
    <xf numFmtId="0" fontId="20" fillId="2" borderId="35" xfId="0" applyFont="1" applyFill="1" applyBorder="1" applyAlignment="1">
      <alignment horizontal="center" vertical="center" wrapText="1"/>
    </xf>
    <xf numFmtId="0" fontId="0" fillId="2" borderId="29" xfId="0" applyFill="1" applyBorder="1" applyAlignment="1">
      <alignment vertical="center" wrapText="1"/>
    </xf>
    <xf numFmtId="0" fontId="0" fillId="2" borderId="30" xfId="0" applyFill="1" applyBorder="1" applyAlignment="1">
      <alignment vertical="center"/>
    </xf>
    <xf numFmtId="0" fontId="0" fillId="2" borderId="31" xfId="0" applyFill="1" applyBorder="1" applyAlignment="1">
      <alignment vertical="center" wrapText="1"/>
    </xf>
    <xf numFmtId="0" fontId="17" fillId="2" borderId="32" xfId="0" applyFont="1" applyFill="1" applyBorder="1" applyAlignment="1">
      <alignment vertical="center" wrapText="1"/>
    </xf>
    <xf numFmtId="0" fontId="7" fillId="2" borderId="38" xfId="0" applyFont="1" applyFill="1" applyBorder="1" applyAlignment="1">
      <alignment horizontal="center" vertical="center" wrapText="1"/>
    </xf>
    <xf numFmtId="0" fontId="17" fillId="2" borderId="0" xfId="0" applyFont="1" applyFill="1" applyAlignment="1">
      <alignment horizontal="left" vertical="center" wrapText="1"/>
    </xf>
    <xf numFmtId="0" fontId="17" fillId="2" borderId="37" xfId="0" applyFont="1" applyFill="1" applyBorder="1" applyAlignment="1">
      <alignment horizontal="center" vertical="center" wrapText="1"/>
    </xf>
    <xf numFmtId="0" fontId="0" fillId="2" borderId="34" xfId="0" applyFill="1" applyBorder="1" applyAlignment="1">
      <alignment vertical="center"/>
    </xf>
    <xf numFmtId="0" fontId="0" fillId="2" borderId="36" xfId="0" applyFill="1" applyBorder="1" applyAlignment="1">
      <alignment vertical="center"/>
    </xf>
    <xf numFmtId="0" fontId="19" fillId="2" borderId="30" xfId="0" applyFont="1" applyFill="1" applyBorder="1" applyAlignment="1">
      <alignment wrapText="1"/>
    </xf>
    <xf numFmtId="0" fontId="19" fillId="2" borderId="31" xfId="0" applyFont="1" applyFill="1" applyBorder="1" applyAlignment="1">
      <alignment wrapText="1"/>
    </xf>
    <xf numFmtId="0" fontId="0" fillId="2" borderId="39" xfId="0" applyFill="1" applyBorder="1" applyAlignment="1">
      <alignment wrapText="1"/>
    </xf>
    <xf numFmtId="0" fontId="18" fillId="2" borderId="38" xfId="0" applyFont="1" applyFill="1" applyBorder="1" applyAlignment="1">
      <alignment horizontal="center" vertical="center"/>
    </xf>
    <xf numFmtId="0" fontId="19" fillId="2" borderId="34" xfId="0" applyFont="1" applyFill="1" applyBorder="1" applyAlignment="1">
      <alignment wrapText="1"/>
    </xf>
    <xf numFmtId="0" fontId="21" fillId="0" borderId="0" xfId="0" applyFont="1" applyAlignment="1">
      <alignment wrapText="1"/>
    </xf>
    <xf numFmtId="0" fontId="0" fillId="2" borderId="39" xfId="0" applyFill="1" applyBorder="1"/>
    <xf numFmtId="0" fontId="19" fillId="2" borderId="0" xfId="0" applyFont="1" applyFill="1" applyAlignment="1">
      <alignment wrapText="1"/>
    </xf>
    <xf numFmtId="0" fontId="7" fillId="2" borderId="33" xfId="0" applyFont="1" applyFill="1" applyBorder="1" applyAlignment="1">
      <alignment horizontal="center" vertical="center" wrapText="1"/>
    </xf>
    <xf numFmtId="0" fontId="0" fillId="2" borderId="0" xfId="0" applyFill="1" applyAlignment="1">
      <alignment wrapText="1"/>
    </xf>
    <xf numFmtId="0" fontId="17" fillId="2" borderId="38" xfId="0" applyFont="1" applyFill="1" applyBorder="1" applyAlignment="1">
      <alignment horizontal="center" vertical="center"/>
    </xf>
    <xf numFmtId="0" fontId="17" fillId="2" borderId="41" xfId="0" applyFont="1" applyFill="1" applyBorder="1" applyAlignment="1">
      <alignment horizontal="center" vertical="center" wrapText="1"/>
    </xf>
    <xf numFmtId="0" fontId="17" fillId="2" borderId="23" xfId="0" applyFont="1" applyFill="1" applyBorder="1" applyAlignment="1">
      <alignment horizontal="center" vertical="center" wrapText="1"/>
    </xf>
    <xf numFmtId="0" fontId="0" fillId="2" borderId="32" xfId="0" applyFill="1" applyBorder="1" applyAlignment="1">
      <alignment vertical="center"/>
    </xf>
    <xf numFmtId="0" fontId="17" fillId="2" borderId="13" xfId="0" applyFont="1" applyFill="1" applyBorder="1" applyAlignment="1">
      <alignment horizontal="center" vertical="center" wrapText="1"/>
    </xf>
    <xf numFmtId="0" fontId="17" fillId="2" borderId="29" xfId="0" applyFont="1" applyFill="1" applyBorder="1" applyAlignment="1">
      <alignment horizontal="center" vertical="center"/>
    </xf>
    <xf numFmtId="0" fontId="7" fillId="2" borderId="26" xfId="0" applyFont="1" applyFill="1" applyBorder="1" applyAlignment="1">
      <alignment horizontal="center" vertical="center"/>
    </xf>
    <xf numFmtId="0" fontId="17" fillId="2" borderId="31" xfId="0" applyFont="1" applyFill="1" applyBorder="1" applyAlignment="1">
      <alignment horizontal="center" vertical="center"/>
    </xf>
    <xf numFmtId="0" fontId="0" fillId="2" borderId="39" xfId="0" applyFill="1" applyBorder="1" applyAlignment="1">
      <alignment vertical="center"/>
    </xf>
    <xf numFmtId="0" fontId="17" fillId="2" borderId="0" xfId="0" applyFont="1" applyFill="1" applyAlignment="1">
      <alignment horizontal="center" vertical="center" wrapText="1"/>
    </xf>
    <xf numFmtId="0" fontId="7" fillId="2" borderId="38" xfId="0" applyFont="1" applyFill="1" applyBorder="1" applyAlignment="1">
      <alignment horizontal="center" vertical="center"/>
    </xf>
    <xf numFmtId="0" fontId="0" fillId="2" borderId="34" xfId="0" applyFill="1" applyBorder="1" applyAlignment="1">
      <alignment vertical="center" wrapText="1"/>
    </xf>
    <xf numFmtId="0" fontId="17" fillId="2" borderId="30" xfId="0" applyFont="1" applyFill="1" applyBorder="1" applyAlignment="1">
      <alignment horizontal="center" vertical="center"/>
    </xf>
    <xf numFmtId="0" fontId="7" fillId="2" borderId="27" xfId="0" applyFont="1" applyFill="1" applyBorder="1" applyAlignment="1">
      <alignment horizontal="center" vertical="center"/>
    </xf>
    <xf numFmtId="0" fontId="7" fillId="2" borderId="30" xfId="0" applyFont="1" applyFill="1" applyBorder="1" applyAlignment="1">
      <alignment vertical="center" wrapText="1"/>
    </xf>
    <xf numFmtId="0" fontId="7" fillId="2" borderId="29" xfId="0" applyFont="1" applyFill="1" applyBorder="1" applyAlignment="1">
      <alignment horizontal="center" vertical="center" wrapText="1"/>
    </xf>
    <xf numFmtId="0" fontId="7" fillId="2" borderId="30" xfId="0" applyFont="1" applyFill="1" applyBorder="1" applyAlignment="1">
      <alignment horizontal="center" vertical="center" wrapText="1"/>
    </xf>
    <xf numFmtId="0" fontId="0" fillId="2" borderId="37" xfId="0" applyFill="1" applyBorder="1" applyAlignment="1">
      <alignment wrapText="1"/>
    </xf>
    <xf numFmtId="0" fontId="1" fillId="20" borderId="29" xfId="0" applyFont="1" applyFill="1" applyBorder="1" applyAlignment="1">
      <alignment horizontal="center" wrapText="1"/>
    </xf>
    <xf numFmtId="0" fontId="1" fillId="20" borderId="37" xfId="0" applyFont="1" applyFill="1" applyBorder="1" applyAlignment="1">
      <alignment horizontal="center" wrapText="1"/>
    </xf>
    <xf numFmtId="0" fontId="1" fillId="20" borderId="32" xfId="0" applyFont="1" applyFill="1" applyBorder="1"/>
    <xf numFmtId="0" fontId="1" fillId="20" borderId="37" xfId="0" applyFont="1" applyFill="1" applyBorder="1"/>
    <xf numFmtId="0" fontId="1" fillId="20" borderId="37" xfId="0" applyFont="1" applyFill="1" applyBorder="1" applyAlignment="1">
      <alignment wrapText="1"/>
    </xf>
    <xf numFmtId="0" fontId="1" fillId="20" borderId="31" xfId="0" applyFont="1" applyFill="1" applyBorder="1" applyAlignment="1">
      <alignment wrapText="1"/>
    </xf>
    <xf numFmtId="0" fontId="1" fillId="20" borderId="0" xfId="0" applyFont="1" applyFill="1" applyAlignment="1">
      <alignment wrapText="1"/>
    </xf>
    <xf numFmtId="0" fontId="1" fillId="20" borderId="29" xfId="0" applyFont="1" applyFill="1" applyBorder="1"/>
    <xf numFmtId="0" fontId="1" fillId="20" borderId="33" xfId="0" applyFont="1" applyFill="1" applyBorder="1" applyAlignment="1">
      <alignment wrapText="1"/>
    </xf>
    <xf numFmtId="0" fontId="1" fillId="20" borderId="33" xfId="0" applyFont="1" applyFill="1" applyBorder="1"/>
    <xf numFmtId="0" fontId="1" fillId="2" borderId="33" xfId="0" applyFont="1" applyFill="1" applyBorder="1" applyAlignment="1">
      <alignment wrapText="1"/>
    </xf>
    <xf numFmtId="0" fontId="1" fillId="0" borderId="33" xfId="0" applyFont="1" applyBorder="1" applyAlignment="1">
      <alignment wrapText="1"/>
    </xf>
    <xf numFmtId="0" fontId="1" fillId="2" borderId="30" xfId="0" applyFont="1" applyFill="1" applyBorder="1" applyAlignment="1">
      <alignment horizontal="center" vertical="center" wrapText="1" indent="1"/>
    </xf>
    <xf numFmtId="0" fontId="1" fillId="2" borderId="34" xfId="0" applyFont="1" applyFill="1" applyBorder="1" applyAlignment="1">
      <alignment wrapText="1"/>
    </xf>
    <xf numFmtId="0" fontId="1" fillId="2" borderId="36" xfId="0" applyFont="1" applyFill="1" applyBorder="1" applyAlignment="1">
      <alignment wrapText="1"/>
    </xf>
    <xf numFmtId="0" fontId="1" fillId="20" borderId="29" xfId="0" applyFont="1" applyFill="1" applyBorder="1" applyAlignment="1">
      <alignment horizontal="center" vertical="center" wrapText="1"/>
    </xf>
    <xf numFmtId="0" fontId="1" fillId="20" borderId="37" xfId="0" applyFont="1" applyFill="1" applyBorder="1" applyAlignment="1">
      <alignment horizontal="center" vertical="center" wrapText="1"/>
    </xf>
    <xf numFmtId="0" fontId="1" fillId="20" borderId="32" xfId="0" applyFont="1" applyFill="1" applyBorder="1" applyAlignment="1">
      <alignment horizontal="center" vertical="center"/>
    </xf>
    <xf numFmtId="0" fontId="1" fillId="20" borderId="37" xfId="0" applyFont="1" applyFill="1" applyBorder="1" applyAlignment="1">
      <alignment horizontal="center" vertical="center"/>
    </xf>
    <xf numFmtId="0" fontId="1" fillId="20" borderId="32" xfId="0" applyFont="1" applyFill="1" applyBorder="1" applyAlignment="1">
      <alignment horizontal="center" vertical="center" wrapText="1"/>
    </xf>
    <xf numFmtId="0" fontId="1" fillId="20" borderId="33" xfId="0" applyFont="1" applyFill="1" applyBorder="1" applyAlignment="1">
      <alignment horizontal="center" vertical="center" wrapText="1"/>
    </xf>
    <xf numFmtId="0" fontId="1" fillId="20" borderId="31" xfId="0" applyFont="1" applyFill="1" applyBorder="1" applyAlignment="1">
      <alignment horizontal="center" vertical="center" wrapText="1"/>
    </xf>
    <xf numFmtId="0" fontId="1" fillId="20" borderId="0" xfId="0" applyFont="1" applyFill="1" applyAlignment="1">
      <alignment horizontal="center" vertical="center" wrapText="1"/>
    </xf>
    <xf numFmtId="0" fontId="1" fillId="20" borderId="29" xfId="0" applyFont="1" applyFill="1" applyBorder="1" applyAlignment="1">
      <alignment horizontal="center" vertical="center"/>
    </xf>
    <xf numFmtId="0" fontId="1" fillId="20" borderId="33" xfId="0" applyFont="1" applyFill="1" applyBorder="1" applyAlignment="1">
      <alignment horizontal="center" vertical="center"/>
    </xf>
    <xf numFmtId="0" fontId="1" fillId="2" borderId="26" xfId="0" applyFont="1" applyFill="1" applyBorder="1" applyAlignment="1">
      <alignment horizontal="center" vertical="center"/>
    </xf>
    <xf numFmtId="0" fontId="1" fillId="20" borderId="32" xfId="0" applyFont="1" applyFill="1" applyBorder="1" applyAlignment="1">
      <alignment vertical="center"/>
    </xf>
    <xf numFmtId="0" fontId="1" fillId="20" borderId="37" xfId="0" applyFont="1" applyFill="1" applyBorder="1" applyAlignment="1">
      <alignment vertical="center"/>
    </xf>
    <xf numFmtId="0" fontId="1" fillId="20" borderId="37" xfId="0" applyFont="1" applyFill="1" applyBorder="1" applyAlignment="1">
      <alignment vertical="center" wrapText="1"/>
    </xf>
    <xf numFmtId="0" fontId="1" fillId="20" borderId="31" xfId="0" applyFont="1" applyFill="1" applyBorder="1" applyAlignment="1">
      <alignment vertical="center" wrapText="1"/>
    </xf>
    <xf numFmtId="0" fontId="1" fillId="20" borderId="0" xfId="0" applyFont="1" applyFill="1" applyAlignment="1">
      <alignment vertical="center" wrapText="1"/>
    </xf>
    <xf numFmtId="0" fontId="1" fillId="20" borderId="29" xfId="0" applyFont="1" applyFill="1" applyBorder="1" applyAlignment="1">
      <alignment vertical="center"/>
    </xf>
    <xf numFmtId="0" fontId="1" fillId="20" borderId="33" xfId="0" applyFont="1" applyFill="1" applyBorder="1" applyAlignment="1">
      <alignment vertical="center" wrapText="1"/>
    </xf>
    <xf numFmtId="0" fontId="1" fillId="20" borderId="33" xfId="0" applyFont="1" applyFill="1" applyBorder="1" applyAlignment="1">
      <alignment vertical="center"/>
    </xf>
    <xf numFmtId="0" fontId="1" fillId="20" borderId="32" xfId="0" applyFont="1" applyFill="1" applyBorder="1" applyAlignment="1">
      <alignment vertical="center" wrapText="1"/>
    </xf>
    <xf numFmtId="0" fontId="1" fillId="2" borderId="37" xfId="0" applyFont="1" applyFill="1" applyBorder="1" applyAlignment="1">
      <alignment horizontal="left" vertical="center"/>
    </xf>
    <xf numFmtId="0" fontId="1" fillId="2" borderId="29" xfId="0" applyFont="1" applyFill="1" applyBorder="1" applyAlignment="1">
      <alignment vertical="center"/>
    </xf>
    <xf numFmtId="0" fontId="1" fillId="2" borderId="33" xfId="0" applyFont="1" applyFill="1" applyBorder="1" applyAlignment="1">
      <alignment vertical="center" wrapText="1"/>
    </xf>
    <xf numFmtId="0" fontId="1" fillId="2" borderId="33" xfId="0" applyFont="1" applyFill="1" applyBorder="1" applyAlignment="1">
      <alignment vertical="center"/>
    </xf>
    <xf numFmtId="0" fontId="1" fillId="0" borderId="33" xfId="0" applyFont="1" applyBorder="1" applyAlignment="1">
      <alignment vertical="center" wrapText="1"/>
    </xf>
    <xf numFmtId="0" fontId="1" fillId="2" borderId="29" xfId="0" applyFont="1" applyFill="1" applyBorder="1" applyAlignment="1">
      <alignment vertical="center" wrapText="1"/>
    </xf>
    <xf numFmtId="0" fontId="1" fillId="2" borderId="32" xfId="0" applyFont="1" applyFill="1" applyBorder="1" applyAlignment="1">
      <alignment vertical="center" wrapText="1"/>
    </xf>
    <xf numFmtId="0" fontId="1" fillId="2" borderId="26" xfId="0" applyFont="1" applyFill="1" applyBorder="1" applyAlignment="1">
      <alignment vertical="center"/>
    </xf>
    <xf numFmtId="0" fontId="1" fillId="2" borderId="36" xfId="0" applyFont="1" applyFill="1" applyBorder="1" applyAlignment="1">
      <alignment vertical="center"/>
    </xf>
    <xf numFmtId="0" fontId="1" fillId="2" borderId="30" xfId="0" applyFont="1" applyFill="1" applyBorder="1" applyAlignment="1">
      <alignment vertical="center"/>
    </xf>
    <xf numFmtId="0" fontId="1" fillId="2" borderId="34" xfId="0" applyFont="1" applyFill="1" applyBorder="1" applyAlignment="1">
      <alignment vertical="center" wrapText="1"/>
    </xf>
    <xf numFmtId="0" fontId="1" fillId="2" borderId="34" xfId="0" applyFont="1" applyFill="1" applyBorder="1" applyAlignment="1">
      <alignment vertical="center"/>
    </xf>
    <xf numFmtId="0" fontId="1" fillId="2" borderId="36" xfId="0" applyFont="1" applyFill="1" applyBorder="1" applyAlignment="1">
      <alignment vertical="center" wrapText="1"/>
    </xf>
    <xf numFmtId="0" fontId="1" fillId="2" borderId="40" xfId="0" applyFont="1" applyFill="1" applyBorder="1" applyAlignment="1">
      <alignment vertical="center" wrapText="1"/>
    </xf>
    <xf numFmtId="0" fontId="1" fillId="20" borderId="29" xfId="0" applyFont="1" applyFill="1" applyBorder="1" applyAlignment="1">
      <alignment wrapText="1"/>
    </xf>
    <xf numFmtId="0" fontId="3" fillId="0" borderId="26" xfId="1" applyBorder="1" applyAlignment="1">
      <alignment horizontal="center" vertical="center"/>
    </xf>
    <xf numFmtId="0" fontId="3" fillId="0" borderId="26" xfId="1" applyFill="1" applyBorder="1" applyAlignment="1">
      <alignment horizontal="center" vertical="center"/>
    </xf>
    <xf numFmtId="0" fontId="0" fillId="0" borderId="15" xfId="0" applyBorder="1" applyAlignment="1">
      <alignment horizontal="left" vertical="center" wrapText="1"/>
    </xf>
    <xf numFmtId="0" fontId="0" fillId="0" borderId="15" xfId="0" applyBorder="1" applyAlignment="1">
      <alignment horizontal="center" vertical="center" wrapText="1"/>
    </xf>
    <xf numFmtId="0" fontId="0" fillId="0" borderId="15" xfId="0" applyBorder="1" applyAlignment="1">
      <alignment horizontal="left" vertical="center"/>
    </xf>
    <xf numFmtId="0" fontId="0" fillId="0" borderId="21" xfId="0" applyBorder="1" applyAlignment="1">
      <alignment horizontal="left" vertical="center" wrapText="1"/>
    </xf>
    <xf numFmtId="0" fontId="3" fillId="0" borderId="42" xfId="1" applyBorder="1" applyAlignment="1">
      <alignment horizontal="center" vertical="center"/>
    </xf>
    <xf numFmtId="0" fontId="3" fillId="0" borderId="13" xfId="1" applyBorder="1" applyAlignment="1">
      <alignment horizontal="center" vertical="center"/>
    </xf>
    <xf numFmtId="0" fontId="7" fillId="2" borderId="35" xfId="0" applyFont="1" applyFill="1" applyBorder="1" applyAlignment="1">
      <alignment horizontal="center" vertical="center" wrapText="1"/>
    </xf>
    <xf numFmtId="0" fontId="0" fillId="0" borderId="29" xfId="0" applyBorder="1" applyAlignment="1">
      <alignment horizontal="center" vertical="center" wrapText="1"/>
    </xf>
    <xf numFmtId="0" fontId="7" fillId="2" borderId="36" xfId="0" applyFont="1" applyFill="1" applyBorder="1" applyAlignment="1">
      <alignment horizontal="center" vertical="center" wrapText="1"/>
    </xf>
    <xf numFmtId="0" fontId="0" fillId="2" borderId="30" xfId="0" applyFill="1" applyBorder="1" applyAlignment="1">
      <alignment horizontal="center" vertical="center" wrapText="1"/>
    </xf>
    <xf numFmtId="0" fontId="20" fillId="2" borderId="27" xfId="0" applyFont="1" applyFill="1" applyBorder="1" applyAlignment="1">
      <alignment horizontal="center" vertical="center" wrapText="1"/>
    </xf>
    <xf numFmtId="0" fontId="0" fillId="2" borderId="26" xfId="0" applyFill="1" applyBorder="1" applyAlignment="1">
      <alignment horizontal="center" vertical="center" wrapText="1"/>
    </xf>
    <xf numFmtId="0" fontId="1" fillId="2" borderId="40" xfId="0" applyFont="1" applyFill="1" applyBorder="1" applyAlignment="1">
      <alignment horizontal="center" vertical="center"/>
    </xf>
    <xf numFmtId="0" fontId="1" fillId="2" borderId="28" xfId="0" applyFont="1" applyFill="1" applyBorder="1" applyAlignment="1">
      <alignment horizontal="center" vertical="center" wrapText="1"/>
    </xf>
    <xf numFmtId="0" fontId="1" fillId="2" borderId="28" xfId="0" applyFont="1" applyFill="1" applyBorder="1" applyAlignment="1">
      <alignment horizontal="center" vertical="center"/>
    </xf>
    <xf numFmtId="0" fontId="1" fillId="2" borderId="26" xfId="0" applyFont="1" applyFill="1" applyBorder="1" applyAlignment="1">
      <alignment horizontal="center" vertical="center" wrapText="1"/>
    </xf>
    <xf numFmtId="0" fontId="0" fillId="2" borderId="38" xfId="0" applyFill="1" applyBorder="1" applyAlignment="1">
      <alignment horizontal="center" vertical="center"/>
    </xf>
    <xf numFmtId="0" fontId="0" fillId="2" borderId="26" xfId="0" applyFill="1" applyBorder="1" applyAlignment="1">
      <alignment horizontal="center" vertical="center"/>
    </xf>
    <xf numFmtId="0" fontId="19" fillId="0" borderId="0" xfId="0" applyFont="1" applyAlignment="1">
      <alignment horizontal="center" vertical="center" wrapText="1"/>
    </xf>
    <xf numFmtId="0" fontId="19" fillId="0" borderId="29" xfId="0" applyFont="1" applyBorder="1" applyAlignment="1">
      <alignment horizontal="center" vertical="center" wrapText="1"/>
    </xf>
    <xf numFmtId="0" fontId="19" fillId="0" borderId="26" xfId="0" applyFont="1" applyBorder="1" applyAlignment="1">
      <alignment horizontal="center" vertical="center" wrapText="1"/>
    </xf>
    <xf numFmtId="0" fontId="0" fillId="0" borderId="34" xfId="0" applyBorder="1" applyAlignment="1">
      <alignment horizontal="center" vertical="center"/>
    </xf>
    <xf numFmtId="0" fontId="0" fillId="0" borderId="31" xfId="0" applyBorder="1" applyAlignment="1">
      <alignment horizontal="center" vertical="center"/>
    </xf>
    <xf numFmtId="0" fontId="0" fillId="2" borderId="31" xfId="0" applyFill="1" applyBorder="1" applyAlignment="1">
      <alignment horizontal="center" vertical="center" wrapText="1"/>
    </xf>
    <xf numFmtId="0" fontId="0" fillId="0" borderId="39" xfId="0" applyBorder="1" applyAlignment="1">
      <alignment horizontal="center" vertical="center"/>
    </xf>
    <xf numFmtId="0" fontId="0" fillId="0" borderId="26" xfId="0" applyBorder="1" applyAlignment="1">
      <alignment horizontal="center" vertical="center"/>
    </xf>
    <xf numFmtId="0" fontId="17" fillId="2" borderId="43" xfId="0" applyFont="1" applyFill="1" applyBorder="1" applyAlignment="1">
      <alignment horizontal="center" vertical="center" wrapText="1"/>
    </xf>
    <xf numFmtId="0" fontId="0" fillId="2" borderId="41" xfId="0" applyFill="1" applyBorder="1" applyAlignment="1">
      <alignment horizontal="center" vertical="center" wrapText="1"/>
    </xf>
    <xf numFmtId="0" fontId="0" fillId="2" borderId="33" xfId="0" applyFill="1" applyBorder="1" applyAlignment="1">
      <alignment horizontal="center" vertical="center"/>
    </xf>
    <xf numFmtId="0" fontId="0" fillId="2" borderId="28" xfId="0" applyFill="1" applyBorder="1" applyAlignment="1">
      <alignment horizontal="center" vertical="center"/>
    </xf>
    <xf numFmtId="0" fontId="0" fillId="2" borderId="30" xfId="0" applyFill="1" applyBorder="1" applyAlignment="1">
      <alignment horizontal="center" vertical="center"/>
    </xf>
    <xf numFmtId="0" fontId="0" fillId="2" borderId="35" xfId="0" applyFill="1" applyBorder="1" applyAlignment="1">
      <alignment horizontal="center" vertical="center"/>
    </xf>
    <xf numFmtId="0" fontId="0" fillId="2" borderId="27" xfId="0" applyFill="1" applyBorder="1" applyAlignment="1">
      <alignment horizontal="center" vertical="center"/>
    </xf>
    <xf numFmtId="0" fontId="0" fillId="2" borderId="36" xfId="0" applyFill="1" applyBorder="1" applyAlignment="1">
      <alignment horizontal="center" vertical="center" wrapText="1"/>
    </xf>
    <xf numFmtId="0" fontId="0" fillId="2" borderId="39" xfId="0" applyFill="1" applyBorder="1" applyAlignment="1">
      <alignment horizontal="center" vertical="center"/>
    </xf>
    <xf numFmtId="0" fontId="0" fillId="2" borderId="29" xfId="0" applyFill="1" applyBorder="1" applyAlignment="1">
      <alignment horizontal="center" vertical="center"/>
    </xf>
    <xf numFmtId="0" fontId="0" fillId="2" borderId="37" xfId="0" applyFill="1" applyBorder="1" applyAlignment="1">
      <alignment horizontal="center" vertical="center"/>
    </xf>
    <xf numFmtId="0" fontId="0" fillId="0" borderId="33" xfId="0" applyBorder="1" applyAlignment="1">
      <alignment horizontal="center" vertical="center" wrapText="1"/>
    </xf>
    <xf numFmtId="0" fontId="0" fillId="2" borderId="31" xfId="0" applyFill="1" applyBorder="1" applyAlignment="1">
      <alignment horizontal="center" vertical="center"/>
    </xf>
    <xf numFmtId="0" fontId="0" fillId="2" borderId="34" xfId="0" applyFill="1" applyBorder="1" applyAlignment="1">
      <alignment horizontal="center" vertical="center"/>
    </xf>
    <xf numFmtId="0" fontId="0" fillId="2" borderId="34" xfId="0" applyFill="1" applyBorder="1" applyAlignment="1">
      <alignment horizontal="center" vertical="center" wrapText="1"/>
    </xf>
    <xf numFmtId="0" fontId="0" fillId="0" borderId="38" xfId="0" applyBorder="1" applyAlignment="1">
      <alignment horizontal="center" vertical="center"/>
    </xf>
    <xf numFmtId="0" fontId="0" fillId="0" borderId="38" xfId="0" applyBorder="1" applyAlignment="1">
      <alignment horizontal="center" vertical="center" wrapText="1"/>
    </xf>
    <xf numFmtId="0" fontId="0" fillId="0" borderId="40" xfId="0" applyBorder="1" applyAlignment="1">
      <alignment horizontal="center" vertical="center"/>
    </xf>
    <xf numFmtId="0" fontId="0" fillId="2" borderId="36" xfId="0" applyFill="1" applyBorder="1" applyAlignment="1">
      <alignment horizontal="center" vertical="center"/>
    </xf>
    <xf numFmtId="0" fontId="19" fillId="0" borderId="33" xfId="0" applyFont="1" applyBorder="1" applyAlignment="1">
      <alignment horizontal="center" vertical="center" wrapText="1"/>
    </xf>
    <xf numFmtId="0" fontId="0" fillId="2" borderId="0" xfId="0" applyFill="1" applyAlignment="1">
      <alignment horizontal="center" vertical="center" wrapText="1"/>
    </xf>
    <xf numFmtId="0" fontId="19" fillId="0" borderId="34" xfId="0" applyFont="1" applyBorder="1" applyAlignment="1">
      <alignment horizontal="center" vertical="center" wrapText="1"/>
    </xf>
    <xf numFmtId="0" fontId="0" fillId="2" borderId="37" xfId="0" applyFill="1" applyBorder="1" applyAlignment="1">
      <alignment horizontal="center" vertical="center" wrapText="1"/>
    </xf>
    <xf numFmtId="0" fontId="0" fillId="20" borderId="29" xfId="0" applyFill="1" applyBorder="1" applyAlignment="1">
      <alignment horizontal="center" vertical="center" wrapText="1"/>
    </xf>
    <xf numFmtId="0" fontId="0" fillId="20" borderId="37" xfId="0" applyFill="1" applyBorder="1" applyAlignment="1">
      <alignment horizontal="center" vertical="center" wrapText="1"/>
    </xf>
    <xf numFmtId="0" fontId="0" fillId="20" borderId="32" xfId="0" applyFill="1" applyBorder="1" applyAlignment="1">
      <alignment horizontal="center" vertical="center"/>
    </xf>
    <xf numFmtId="0" fontId="0" fillId="20" borderId="37" xfId="0" applyFill="1" applyBorder="1" applyAlignment="1">
      <alignment horizontal="center" vertical="center"/>
    </xf>
    <xf numFmtId="0" fontId="0" fillId="20" borderId="33" xfId="0" applyFill="1" applyBorder="1" applyAlignment="1">
      <alignment horizontal="center" vertical="center" wrapText="1"/>
    </xf>
    <xf numFmtId="0" fontId="0" fillId="20" borderId="31" xfId="0" applyFill="1" applyBorder="1" applyAlignment="1">
      <alignment horizontal="center" vertical="center" wrapText="1"/>
    </xf>
    <xf numFmtId="0" fontId="0" fillId="20" borderId="29" xfId="0" applyFill="1" applyBorder="1" applyAlignment="1">
      <alignment horizontal="center" vertical="center"/>
    </xf>
    <xf numFmtId="0" fontId="0" fillId="20" borderId="33" xfId="0" applyFill="1" applyBorder="1" applyAlignment="1">
      <alignment horizontal="center" vertical="center"/>
    </xf>
    <xf numFmtId="0" fontId="1" fillId="2" borderId="27"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49" fontId="0" fillId="7" borderId="5" xfId="0" applyNumberFormat="1" applyFill="1" applyBorder="1" applyAlignment="1">
      <alignment horizontal="center" vertical="center"/>
    </xf>
    <xf numFmtId="0" fontId="17" fillId="2" borderId="27" xfId="0" applyFont="1" applyFill="1" applyBorder="1" applyAlignment="1">
      <alignment horizontal="center" vertical="center" wrapText="1"/>
    </xf>
    <xf numFmtId="0" fontId="0" fillId="4" borderId="6" xfId="0" applyFill="1" applyBorder="1" applyAlignment="1">
      <alignment horizontal="center" vertical="center"/>
    </xf>
    <xf numFmtId="0" fontId="0" fillId="2" borderId="5" xfId="0" applyFill="1" applyBorder="1" applyAlignment="1">
      <alignment horizontal="center" vertical="center"/>
    </xf>
    <xf numFmtId="0" fontId="0" fillId="2" borderId="26" xfId="0" applyFill="1" applyBorder="1" applyAlignment="1">
      <alignment vertical="center" wrapText="1" indent="1"/>
    </xf>
    <xf numFmtId="1" fontId="0" fillId="0" borderId="18" xfId="0" applyNumberFormat="1" applyBorder="1" applyAlignment="1">
      <alignment horizontal="center"/>
    </xf>
    <xf numFmtId="0" fontId="0" fillId="20" borderId="39" xfId="0" applyFill="1" applyBorder="1" applyAlignment="1">
      <alignment horizontal="center" vertical="center" wrapText="1"/>
    </xf>
    <xf numFmtId="0" fontId="0" fillId="0" borderId="40" xfId="0" applyBorder="1" applyAlignment="1">
      <alignment horizontal="center" vertical="center" wrapText="1"/>
    </xf>
    <xf numFmtId="0" fontId="0" fillId="2" borderId="27" xfId="0" applyFill="1" applyBorder="1" applyAlignment="1">
      <alignment horizontal="center" vertical="center" wrapText="1"/>
    </xf>
    <xf numFmtId="0" fontId="23" fillId="0" borderId="0" xfId="0" applyFont="1" applyAlignment="1">
      <alignment horizontal="center" vertical="center" wrapText="1"/>
    </xf>
    <xf numFmtId="0" fontId="24" fillId="2" borderId="35" xfId="0" applyFont="1" applyFill="1" applyBorder="1" applyAlignment="1">
      <alignment horizontal="center" vertical="center"/>
    </xf>
    <xf numFmtId="0" fontId="0" fillId="2" borderId="32" xfId="0" applyFill="1" applyBorder="1" applyAlignment="1">
      <alignment horizontal="center" vertical="center"/>
    </xf>
    <xf numFmtId="0" fontId="19" fillId="2" borderId="26" xfId="0" applyFont="1" applyFill="1" applyBorder="1" applyAlignment="1">
      <alignment wrapText="1"/>
    </xf>
    <xf numFmtId="0" fontId="0" fillId="0" borderId="0" xfId="0" applyAlignment="1">
      <alignment horizontal="center" vertical="center" wrapText="1"/>
    </xf>
    <xf numFmtId="0" fontId="0" fillId="2" borderId="44" xfId="0" applyFill="1" applyBorder="1" applyAlignment="1">
      <alignment horizontal="center" vertical="center" wrapText="1"/>
    </xf>
    <xf numFmtId="0" fontId="24" fillId="2" borderId="0" xfId="0" applyFont="1" applyFill="1" applyAlignment="1">
      <alignment horizontal="center" vertical="center"/>
    </xf>
    <xf numFmtId="0" fontId="7" fillId="2" borderId="34" xfId="0" applyFont="1" applyFill="1" applyBorder="1" applyAlignment="1">
      <alignment horizontal="center" vertical="center"/>
    </xf>
    <xf numFmtId="0" fontId="24" fillId="2" borderId="38" xfId="0" applyFont="1" applyFill="1" applyBorder="1" applyAlignment="1">
      <alignment horizontal="center" vertical="center"/>
    </xf>
    <xf numFmtId="0" fontId="22" fillId="2" borderId="32" xfId="0" applyFont="1" applyFill="1" applyBorder="1" applyAlignment="1">
      <alignment horizontal="center" vertical="center"/>
    </xf>
    <xf numFmtId="0" fontId="22" fillId="2" borderId="32" xfId="0" applyFont="1" applyFill="1" applyBorder="1" applyAlignment="1">
      <alignment horizontal="center" vertical="center" wrapText="1"/>
    </xf>
    <xf numFmtId="49" fontId="4" fillId="3" borderId="2" xfId="0" applyNumberFormat="1" applyFont="1" applyFill="1" applyBorder="1" applyAlignment="1">
      <alignment horizontal="center" vertical="center" wrapText="1"/>
    </xf>
    <xf numFmtId="49" fontId="0" fillId="4" borderId="1" xfId="0" applyNumberFormat="1" applyFill="1" applyBorder="1" applyAlignment="1">
      <alignment horizontal="center" vertical="center"/>
    </xf>
    <xf numFmtId="0" fontId="0" fillId="2" borderId="30" xfId="0" applyFill="1" applyBorder="1" applyAlignment="1">
      <alignment horizontal="center" vertical="center" wrapText="1" indent="1"/>
    </xf>
    <xf numFmtId="49" fontId="2" fillId="7" borderId="13" xfId="0" applyNumberFormat="1" applyFont="1" applyFill="1" applyBorder="1" applyAlignment="1">
      <alignment horizontal="center" vertical="center"/>
    </xf>
    <xf numFmtId="49" fontId="12" fillId="2" borderId="23" xfId="1" applyNumberFormat="1" applyFont="1" applyFill="1" applyBorder="1" applyAlignment="1">
      <alignment horizontal="center" vertical="center"/>
    </xf>
    <xf numFmtId="49" fontId="0" fillId="7" borderId="46" xfId="0" applyNumberFormat="1" applyFill="1" applyBorder="1" applyAlignment="1">
      <alignment horizontal="center" vertical="center"/>
    </xf>
    <xf numFmtId="49" fontId="0" fillId="2" borderId="14" xfId="0" applyNumberFormat="1" applyFill="1" applyBorder="1" applyAlignment="1">
      <alignment horizontal="center" vertical="center"/>
    </xf>
    <xf numFmtId="49" fontId="0" fillId="2" borderId="23" xfId="0" applyNumberFormat="1" applyFill="1" applyBorder="1" applyAlignment="1">
      <alignment horizontal="center" vertical="center"/>
    </xf>
    <xf numFmtId="0" fontId="0" fillId="0" borderId="27" xfId="0" applyBorder="1" applyAlignment="1">
      <alignment horizontal="center"/>
    </xf>
    <xf numFmtId="0" fontId="23" fillId="2" borderId="26" xfId="0" applyFont="1" applyFill="1" applyBorder="1" applyAlignment="1">
      <alignment wrapText="1"/>
    </xf>
    <xf numFmtId="0" fontId="23" fillId="2" borderId="31" xfId="0" applyFont="1" applyFill="1" applyBorder="1" applyAlignment="1">
      <alignment wrapText="1"/>
    </xf>
    <xf numFmtId="0" fontId="25" fillId="0" borderId="26" xfId="0" applyFont="1" applyBorder="1" applyAlignment="1">
      <alignment wrapText="1"/>
    </xf>
    <xf numFmtId="0" fontId="0" fillId="20" borderId="32" xfId="0" applyFill="1" applyBorder="1" applyAlignment="1">
      <alignment horizontal="center"/>
    </xf>
    <xf numFmtId="0" fontId="0" fillId="20" borderId="37" xfId="0" applyFill="1" applyBorder="1" applyAlignment="1">
      <alignment horizontal="center"/>
    </xf>
    <xf numFmtId="0" fontId="0" fillId="20" borderId="33" xfId="0" applyFill="1" applyBorder="1" applyAlignment="1">
      <alignment horizontal="center" wrapText="1"/>
    </xf>
    <xf numFmtId="0" fontId="0" fillId="0" borderId="30" xfId="0" applyBorder="1" applyAlignment="1">
      <alignment horizontal="center" vertical="center" wrapText="1"/>
    </xf>
    <xf numFmtId="0" fontId="17" fillId="2" borderId="48" xfId="0" applyFont="1" applyFill="1" applyBorder="1" applyAlignment="1">
      <alignment horizontal="center" vertical="center"/>
    </xf>
    <xf numFmtId="0" fontId="17" fillId="2" borderId="48" xfId="0" applyFont="1" applyFill="1" applyBorder="1" applyAlignment="1">
      <alignment horizontal="center" vertical="center" wrapText="1"/>
    </xf>
    <xf numFmtId="0" fontId="0" fillId="2" borderId="40" xfId="0" applyFill="1" applyBorder="1" applyAlignment="1">
      <alignment horizontal="center" vertical="center"/>
    </xf>
    <xf numFmtId="20" fontId="3" fillId="0" borderId="26" xfId="1" applyNumberFormat="1" applyBorder="1" applyAlignment="1">
      <alignment horizontal="center"/>
    </xf>
    <xf numFmtId="0" fontId="3" fillId="0" borderId="26" xfId="1" applyFill="1" applyBorder="1" applyAlignment="1">
      <alignment horizontal="center"/>
    </xf>
    <xf numFmtId="20" fontId="3" fillId="0" borderId="26" xfId="1" applyNumberFormat="1" applyFill="1" applyBorder="1" applyAlignment="1">
      <alignment horizontal="center"/>
    </xf>
    <xf numFmtId="0" fontId="4" fillId="3" borderId="26" xfId="0" applyFont="1" applyFill="1" applyBorder="1" applyAlignment="1">
      <alignment vertical="center" wrapText="1"/>
    </xf>
    <xf numFmtId="0" fontId="2" fillId="2" borderId="26" xfId="0" applyFont="1" applyFill="1" applyBorder="1" applyAlignment="1">
      <alignment horizontal="center" vertical="center"/>
    </xf>
    <xf numFmtId="0" fontId="14" fillId="2" borderId="26" xfId="1" applyFont="1" applyFill="1" applyBorder="1" applyAlignment="1">
      <alignment horizontal="center" vertical="center"/>
    </xf>
    <xf numFmtId="0" fontId="14" fillId="16" borderId="26" xfId="1" applyFont="1" applyFill="1" applyBorder="1" applyAlignment="1">
      <alignment horizontal="center" vertical="center"/>
    </xf>
    <xf numFmtId="0" fontId="15" fillId="2" borderId="26" xfId="1" applyFont="1" applyFill="1" applyBorder="1" applyAlignment="1">
      <alignment horizontal="center" vertical="center"/>
    </xf>
    <xf numFmtId="0" fontId="5" fillId="4" borderId="26" xfId="0" applyFont="1" applyFill="1" applyBorder="1" applyAlignment="1">
      <alignment horizontal="center" vertical="center"/>
    </xf>
    <xf numFmtId="49" fontId="0" fillId="7" borderId="26" xfId="0" applyNumberFormat="1" applyFill="1" applyBorder="1" applyAlignment="1">
      <alignment vertical="center"/>
    </xf>
    <xf numFmtId="20" fontId="0" fillId="0" borderId="26" xfId="0" applyNumberFormat="1" applyBorder="1" applyAlignment="1">
      <alignment horizontal="center" vertical="center"/>
    </xf>
    <xf numFmtId="0" fontId="0" fillId="4" borderId="26" xfId="0" applyFill="1" applyBorder="1" applyAlignment="1">
      <alignment horizontal="center" vertical="center"/>
    </xf>
    <xf numFmtId="0" fontId="4" fillId="3" borderId="29" xfId="0" applyFont="1" applyFill="1" applyBorder="1" applyAlignment="1">
      <alignment vertical="center" wrapText="1"/>
    </xf>
    <xf numFmtId="49" fontId="2" fillId="0" borderId="0" xfId="0" applyNumberFormat="1" applyFont="1" applyAlignment="1">
      <alignment horizontal="center" vertical="center"/>
    </xf>
    <xf numFmtId="0" fontId="7" fillId="2" borderId="39" xfId="0" applyFont="1" applyFill="1" applyBorder="1" applyAlignment="1">
      <alignment horizontal="center" vertical="center"/>
    </xf>
    <xf numFmtId="0" fontId="7" fillId="2" borderId="49" xfId="0" applyFont="1" applyFill="1" applyBorder="1" applyAlignment="1">
      <alignment horizontal="center" vertical="center"/>
    </xf>
    <xf numFmtId="0" fontId="0" fillId="20" borderId="31" xfId="0" applyFill="1" applyBorder="1" applyAlignment="1">
      <alignment horizontal="center" wrapText="1"/>
    </xf>
    <xf numFmtId="0" fontId="0" fillId="20" borderId="0" xfId="0" applyFill="1" applyAlignment="1">
      <alignment horizontal="center" wrapText="1"/>
    </xf>
    <xf numFmtId="0" fontId="0" fillId="20" borderId="29" xfId="0" applyFill="1" applyBorder="1" applyAlignment="1">
      <alignment horizontal="center"/>
    </xf>
    <xf numFmtId="0" fontId="0" fillId="20" borderId="33" xfId="0" applyFill="1" applyBorder="1" applyAlignment="1">
      <alignment horizontal="center"/>
    </xf>
    <xf numFmtId="0" fontId="0" fillId="0" borderId="32" xfId="0" applyBorder="1" applyAlignment="1">
      <alignment horizontal="center" vertical="center" wrapText="1"/>
    </xf>
    <xf numFmtId="0" fontId="19" fillId="2" borderId="38" xfId="0" applyFont="1" applyFill="1" applyBorder="1" applyAlignment="1">
      <alignment horizontal="center" vertical="center" wrapText="1"/>
    </xf>
    <xf numFmtId="0" fontId="0" fillId="0" borderId="35" xfId="0" applyBorder="1" applyAlignment="1">
      <alignment horizontal="center" vertical="center"/>
    </xf>
    <xf numFmtId="0" fontId="19" fillId="2" borderId="30" xfId="0" applyFont="1" applyFill="1" applyBorder="1" applyAlignment="1">
      <alignment horizontal="center" vertical="center" wrapText="1"/>
    </xf>
    <xf numFmtId="49" fontId="4" fillId="3" borderId="26" xfId="0" applyNumberFormat="1" applyFont="1" applyFill="1" applyBorder="1" applyAlignment="1">
      <alignment vertical="center" wrapText="1"/>
    </xf>
    <xf numFmtId="49" fontId="2" fillId="7" borderId="26" xfId="0" applyNumberFormat="1" applyFont="1" applyFill="1" applyBorder="1" applyAlignment="1">
      <alignment horizontal="center" vertical="center"/>
    </xf>
    <xf numFmtId="49" fontId="3" fillId="7" borderId="26" xfId="1" applyNumberFormat="1" applyFill="1" applyBorder="1" applyAlignment="1">
      <alignment horizontal="center" vertical="center"/>
    </xf>
    <xf numFmtId="0" fontId="2" fillId="17" borderId="26" xfId="0" applyFont="1" applyFill="1" applyBorder="1" applyAlignment="1">
      <alignment horizontal="center" vertical="center"/>
    </xf>
    <xf numFmtId="49" fontId="0" fillId="2" borderId="26" xfId="0" applyNumberFormat="1" applyFill="1" applyBorder="1" applyAlignment="1">
      <alignment horizontal="center" vertical="center"/>
    </xf>
    <xf numFmtId="164" fontId="3" fillId="0" borderId="26" xfId="1" applyNumberFormat="1" applyBorder="1" applyAlignment="1">
      <alignment horizontal="center"/>
    </xf>
    <xf numFmtId="0" fontId="12" fillId="2" borderId="26" xfId="1" applyFont="1" applyFill="1" applyBorder="1" applyAlignment="1">
      <alignment horizontal="center" vertical="center"/>
    </xf>
    <xf numFmtId="164" fontId="0" fillId="17" borderId="26" xfId="0" applyNumberFormat="1" applyFill="1" applyBorder="1" applyAlignment="1">
      <alignment horizontal="center" vertical="center"/>
    </xf>
    <xf numFmtId="49" fontId="0" fillId="4" borderId="26" xfId="0" applyNumberFormat="1" applyFill="1" applyBorder="1" applyAlignment="1">
      <alignment horizontal="center" vertical="center"/>
    </xf>
    <xf numFmtId="0" fontId="0" fillId="0" borderId="37" xfId="0" applyBorder="1" applyAlignment="1">
      <alignment horizontal="center" vertical="center" wrapText="1"/>
    </xf>
    <xf numFmtId="0" fontId="7" fillId="2" borderId="35" xfId="0" applyFont="1" applyFill="1" applyBorder="1" applyAlignment="1">
      <alignment horizontal="center" vertical="center"/>
    </xf>
    <xf numFmtId="0" fontId="17" fillId="2" borderId="31" xfId="0" applyFont="1" applyFill="1" applyBorder="1" applyAlignment="1">
      <alignment horizontal="center" vertical="center" wrapText="1"/>
    </xf>
    <xf numFmtId="0" fontId="0" fillId="2" borderId="28" xfId="0" applyFill="1" applyBorder="1" applyAlignment="1">
      <alignment horizontal="center" vertical="center" wrapText="1"/>
    </xf>
    <xf numFmtId="0" fontId="27" fillId="0" borderId="33" xfId="0" applyFont="1" applyBorder="1" applyAlignment="1">
      <alignment horizontal="center" vertical="center" wrapText="1"/>
    </xf>
    <xf numFmtId="0" fontId="27" fillId="2" borderId="0" xfId="0" applyFont="1" applyFill="1" applyAlignment="1">
      <alignment horizontal="center" vertical="center" wrapText="1"/>
    </xf>
    <xf numFmtId="0" fontId="30" fillId="2" borderId="29" xfId="0" applyFont="1" applyFill="1" applyBorder="1" applyAlignment="1">
      <alignment horizontal="center" vertical="center" wrapText="1"/>
    </xf>
    <xf numFmtId="0" fontId="30" fillId="0" borderId="29" xfId="0" applyFont="1" applyBorder="1" applyAlignment="1">
      <alignment horizontal="center" vertical="center" wrapText="1"/>
    </xf>
    <xf numFmtId="0" fontId="30" fillId="2" borderId="26" xfId="0" applyFont="1" applyFill="1" applyBorder="1" applyAlignment="1">
      <alignment horizontal="center" vertical="center" wrapText="1"/>
    </xf>
    <xf numFmtId="0" fontId="30" fillId="2" borderId="26" xfId="0" applyFont="1" applyFill="1" applyBorder="1" applyAlignment="1">
      <alignment horizontal="center" vertical="center"/>
    </xf>
    <xf numFmtId="0" fontId="31" fillId="0" borderId="26" xfId="0" applyFont="1" applyBorder="1" applyAlignment="1">
      <alignment horizontal="center" vertical="center" wrapText="1"/>
    </xf>
    <xf numFmtId="0" fontId="30" fillId="0" borderId="26" xfId="0" applyFont="1" applyBorder="1" applyAlignment="1">
      <alignment horizontal="center" vertical="center"/>
    </xf>
    <xf numFmtId="0" fontId="30" fillId="2" borderId="29" xfId="0" applyFont="1" applyFill="1" applyBorder="1" applyAlignment="1">
      <alignment horizontal="center" vertical="center"/>
    </xf>
    <xf numFmtId="0" fontId="30" fillId="2" borderId="30" xfId="0" applyFont="1" applyFill="1" applyBorder="1" applyAlignment="1">
      <alignment horizontal="center" vertical="center"/>
    </xf>
    <xf numFmtId="0" fontId="30" fillId="2" borderId="35" xfId="0" applyFont="1" applyFill="1" applyBorder="1" applyAlignment="1">
      <alignment horizontal="center" vertical="center"/>
    </xf>
    <xf numFmtId="0" fontId="31" fillId="0" borderId="31" xfId="0" applyFont="1" applyBorder="1" applyAlignment="1">
      <alignment horizontal="center" vertical="center" wrapText="1"/>
    </xf>
    <xf numFmtId="0" fontId="30" fillId="2" borderId="31" xfId="0" applyFont="1" applyFill="1" applyBorder="1" applyAlignment="1">
      <alignment wrapText="1"/>
    </xf>
    <xf numFmtId="0" fontId="30" fillId="2" borderId="38" xfId="0" applyFont="1" applyFill="1" applyBorder="1" applyAlignment="1">
      <alignment horizontal="center" vertical="center" wrapText="1"/>
    </xf>
    <xf numFmtId="0" fontId="30" fillId="2" borderId="35" xfId="0" applyFont="1" applyFill="1" applyBorder="1" applyAlignment="1">
      <alignment horizontal="center" vertical="center" wrapText="1"/>
    </xf>
    <xf numFmtId="0" fontId="30" fillId="2" borderId="39" xfId="0" applyFont="1" applyFill="1" applyBorder="1" applyAlignment="1">
      <alignment horizontal="center" vertical="center"/>
    </xf>
    <xf numFmtId="0" fontId="30" fillId="2" borderId="31" xfId="0" applyFont="1" applyFill="1" applyBorder="1" applyAlignment="1">
      <alignment horizontal="center" vertical="center"/>
    </xf>
    <xf numFmtId="0" fontId="30" fillId="2" borderId="27" xfId="0" applyFont="1" applyFill="1" applyBorder="1" applyAlignment="1">
      <alignment horizontal="center" vertical="center"/>
    </xf>
    <xf numFmtId="0" fontId="30" fillId="2" borderId="36" xfId="0" applyFont="1" applyFill="1" applyBorder="1" applyAlignment="1">
      <alignment horizontal="center" vertical="center" wrapText="1"/>
    </xf>
    <xf numFmtId="0" fontId="30" fillId="2" borderId="28" xfId="0" applyFont="1" applyFill="1" applyBorder="1" applyAlignment="1">
      <alignment horizontal="center" vertical="center"/>
    </xf>
    <xf numFmtId="0" fontId="30" fillId="2" borderId="27" xfId="0" applyFont="1" applyFill="1" applyBorder="1" applyAlignment="1">
      <alignment horizontal="center" vertical="center" wrapText="1"/>
    </xf>
    <xf numFmtId="0" fontId="30" fillId="2" borderId="37" xfId="0" applyFont="1" applyFill="1" applyBorder="1" applyAlignment="1">
      <alignment horizontal="center" vertical="center"/>
    </xf>
    <xf numFmtId="0" fontId="30" fillId="2" borderId="36" xfId="0" applyFont="1" applyFill="1" applyBorder="1" applyAlignment="1">
      <alignment horizontal="center" vertical="center"/>
    </xf>
    <xf numFmtId="0" fontId="30" fillId="2" borderId="33" xfId="0" applyFont="1" applyFill="1" applyBorder="1" applyAlignment="1">
      <alignment horizontal="center" vertical="center"/>
    </xf>
    <xf numFmtId="0" fontId="31" fillId="0" borderId="29" xfId="0" applyFont="1" applyBorder="1" applyAlignment="1">
      <alignment horizontal="center" vertical="center" wrapText="1"/>
    </xf>
    <xf numFmtId="0" fontId="31" fillId="2" borderId="32" xfId="0" applyFont="1" applyFill="1" applyBorder="1" applyAlignment="1">
      <alignment horizontal="center" vertical="center" wrapText="1"/>
    </xf>
    <xf numFmtId="0" fontId="31" fillId="2" borderId="35" xfId="0" applyFont="1" applyFill="1" applyBorder="1" applyAlignment="1">
      <alignment horizontal="center" vertical="center" wrapText="1"/>
    </xf>
    <xf numFmtId="0" fontId="31" fillId="0" borderId="35" xfId="0" applyFont="1" applyBorder="1" applyAlignment="1">
      <alignment horizontal="center" vertical="center" wrapText="1"/>
    </xf>
    <xf numFmtId="0" fontId="30" fillId="2" borderId="32" xfId="0" applyFont="1" applyFill="1" applyBorder="1" applyAlignment="1">
      <alignment horizontal="center" vertical="center" wrapText="1"/>
    </xf>
    <xf numFmtId="0" fontId="31" fillId="0" borderId="38" xfId="0" applyFont="1" applyBorder="1" applyAlignment="1">
      <alignment horizontal="center" vertical="center" wrapText="1"/>
    </xf>
    <xf numFmtId="0" fontId="30" fillId="2" borderId="32" xfId="0" applyFont="1" applyFill="1" applyBorder="1"/>
    <xf numFmtId="0" fontId="30" fillId="2" borderId="38" xfId="0" applyFont="1" applyFill="1" applyBorder="1"/>
    <xf numFmtId="0" fontId="30" fillId="2" borderId="28" xfId="0" applyFont="1" applyFill="1" applyBorder="1" applyAlignment="1">
      <alignment horizontal="center" vertical="center" wrapText="1"/>
    </xf>
    <xf numFmtId="0" fontId="30" fillId="0" borderId="38" xfId="0" applyFont="1" applyBorder="1"/>
    <xf numFmtId="0" fontId="30" fillId="2" borderId="35" xfId="0" applyFont="1" applyFill="1" applyBorder="1"/>
    <xf numFmtId="0" fontId="30" fillId="2" borderId="0" xfId="0" applyFont="1" applyFill="1" applyAlignment="1">
      <alignment horizontal="center" vertical="center" wrapText="1"/>
    </xf>
    <xf numFmtId="0" fontId="30" fillId="2" borderId="29" xfId="0" applyFont="1" applyFill="1" applyBorder="1" applyAlignment="1">
      <alignment wrapText="1"/>
    </xf>
    <xf numFmtId="0" fontId="30" fillId="2" borderId="30" xfId="0" applyFont="1" applyFill="1" applyBorder="1" applyAlignment="1">
      <alignment wrapText="1"/>
    </xf>
    <xf numFmtId="0" fontId="30" fillId="0" borderId="40" xfId="0" applyFont="1" applyBorder="1" applyAlignment="1">
      <alignment horizontal="center" vertical="center" wrapText="1"/>
    </xf>
    <xf numFmtId="0" fontId="29" fillId="2" borderId="43" xfId="0" applyFont="1" applyFill="1" applyBorder="1" applyAlignment="1">
      <alignment horizontal="center" vertical="center" wrapText="1"/>
    </xf>
    <xf numFmtId="0" fontId="30" fillId="2" borderId="41" xfId="0" applyFont="1" applyFill="1" applyBorder="1" applyAlignment="1">
      <alignment horizontal="center" vertical="center" wrapText="1"/>
    </xf>
    <xf numFmtId="0" fontId="31" fillId="0" borderId="0" xfId="0" applyFont="1" applyAlignment="1">
      <alignment horizontal="center" vertical="center" wrapText="1"/>
    </xf>
    <xf numFmtId="0" fontId="30" fillId="0" borderId="38" xfId="0" applyFont="1" applyBorder="1" applyAlignment="1">
      <alignment horizontal="center" vertical="center"/>
    </xf>
    <xf numFmtId="0" fontId="30" fillId="0" borderId="38" xfId="0" applyFont="1" applyBorder="1" applyAlignment="1">
      <alignment horizontal="center" vertical="center" wrapText="1"/>
    </xf>
    <xf numFmtId="0" fontId="30" fillId="0" borderId="34" xfId="0" applyFont="1" applyBorder="1" applyAlignment="1">
      <alignment horizontal="center" vertical="center"/>
    </xf>
    <xf numFmtId="0" fontId="30" fillId="0" borderId="40" xfId="0" applyFont="1" applyBorder="1" applyAlignment="1">
      <alignment horizontal="center" vertical="center"/>
    </xf>
    <xf numFmtId="0" fontId="30" fillId="0" borderId="39" xfId="0" applyFont="1" applyBorder="1" applyAlignment="1">
      <alignment horizontal="center" vertical="center"/>
    </xf>
    <xf numFmtId="0" fontId="29" fillId="2" borderId="32" xfId="0" applyFont="1" applyFill="1" applyBorder="1" applyAlignment="1">
      <alignment horizontal="center" vertical="center" wrapText="1"/>
    </xf>
    <xf numFmtId="0" fontId="30" fillId="2" borderId="0" xfId="0" applyFont="1" applyFill="1" applyAlignment="1">
      <alignment horizontal="center" vertical="center"/>
    </xf>
    <xf numFmtId="0" fontId="22" fillId="2" borderId="29" xfId="0" applyFont="1" applyFill="1" applyBorder="1" applyAlignment="1">
      <alignment horizontal="center" vertical="center" wrapText="1"/>
    </xf>
    <xf numFmtId="0" fontId="28" fillId="0" borderId="26" xfId="0" applyFont="1" applyBorder="1" applyAlignment="1">
      <alignment wrapText="1"/>
    </xf>
    <xf numFmtId="0" fontId="22" fillId="2" borderId="31" xfId="0" applyFont="1" applyFill="1" applyBorder="1" applyAlignment="1">
      <alignment horizontal="center" vertical="center" wrapText="1"/>
    </xf>
    <xf numFmtId="0" fontId="23" fillId="2" borderId="30" xfId="0" applyFont="1" applyFill="1" applyBorder="1" applyAlignment="1">
      <alignment wrapText="1"/>
    </xf>
    <xf numFmtId="0" fontId="7" fillId="2" borderId="50" xfId="0" applyFont="1" applyFill="1" applyBorder="1" applyAlignment="1">
      <alignment horizontal="center" vertical="center" wrapText="1"/>
    </xf>
    <xf numFmtId="0" fontId="0" fillId="2" borderId="33" xfId="0" applyFill="1" applyBorder="1" applyAlignment="1">
      <alignment vertical="center" wrapText="1"/>
    </xf>
    <xf numFmtId="0" fontId="7" fillId="2" borderId="51" xfId="0" applyFont="1" applyFill="1" applyBorder="1" applyAlignment="1">
      <alignment horizontal="center" vertical="center"/>
    </xf>
    <xf numFmtId="0" fontId="7" fillId="2" borderId="0" xfId="0" applyFont="1" applyFill="1" applyAlignment="1">
      <alignment horizontal="center" vertical="center"/>
    </xf>
    <xf numFmtId="0" fontId="7" fillId="2" borderId="32" xfId="0" applyFont="1" applyFill="1" applyBorder="1" applyAlignment="1">
      <alignment horizontal="center" vertical="center"/>
    </xf>
    <xf numFmtId="0" fontId="0" fillId="2" borderId="45" xfId="0" applyFill="1" applyBorder="1" applyAlignment="1">
      <alignment vertical="center" wrapText="1"/>
    </xf>
    <xf numFmtId="0" fontId="7" fillId="2" borderId="0" xfId="0" applyFont="1" applyFill="1" applyAlignment="1">
      <alignment vertical="center" wrapText="1"/>
    </xf>
    <xf numFmtId="0" fontId="7" fillId="2" borderId="26" xfId="0" applyFont="1" applyFill="1" applyBorder="1" applyAlignment="1">
      <alignment wrapText="1"/>
    </xf>
    <xf numFmtId="0" fontId="0" fillId="0" borderId="29" xfId="0" applyBorder="1" applyAlignment="1">
      <alignment horizontal="center" vertical="center"/>
    </xf>
    <xf numFmtId="0" fontId="17" fillId="2" borderId="35" xfId="0" applyFont="1" applyFill="1" applyBorder="1" applyAlignment="1">
      <alignment horizontal="center" vertical="center"/>
    </xf>
    <xf numFmtId="0" fontId="17" fillId="2" borderId="32" xfId="0" applyFont="1" applyFill="1" applyBorder="1" applyAlignment="1">
      <alignment horizontal="center" vertical="center"/>
    </xf>
    <xf numFmtId="0" fontId="32" fillId="2" borderId="29" xfId="0" applyFont="1" applyFill="1" applyBorder="1" applyAlignment="1">
      <alignment horizontal="center" vertical="center" wrapText="1"/>
    </xf>
    <xf numFmtId="0" fontId="7" fillId="2" borderId="31" xfId="0" applyFont="1" applyFill="1" applyBorder="1" applyAlignment="1">
      <alignment horizontal="center" vertical="center"/>
    </xf>
    <xf numFmtId="0" fontId="32" fillId="0" borderId="26" xfId="0" applyFont="1" applyBorder="1" applyAlignment="1">
      <alignment horizontal="center" vertical="center" wrapText="1"/>
    </xf>
    <xf numFmtId="0" fontId="33" fillId="0" borderId="32" xfId="0" applyFont="1" applyBorder="1" applyAlignment="1">
      <alignment horizontal="center" vertical="center" wrapText="1"/>
    </xf>
    <xf numFmtId="0" fontId="33" fillId="0" borderId="27" xfId="0" applyFont="1" applyBorder="1" applyAlignment="1">
      <alignment horizontal="center" vertical="center" wrapText="1"/>
    </xf>
    <xf numFmtId="0" fontId="7" fillId="2" borderId="29" xfId="0" applyFont="1" applyFill="1" applyBorder="1" applyAlignment="1">
      <alignment horizontal="center" vertical="center"/>
    </xf>
    <xf numFmtId="0" fontId="22" fillId="2" borderId="38" xfId="0" applyFont="1" applyFill="1" applyBorder="1" applyAlignment="1">
      <alignment horizontal="center" vertical="center" wrapText="1"/>
    </xf>
    <xf numFmtId="0" fontId="17" fillId="2" borderId="25" xfId="0" applyFont="1" applyFill="1" applyBorder="1" applyAlignment="1">
      <alignment horizontal="center" vertical="center" wrapText="1"/>
    </xf>
    <xf numFmtId="0" fontId="7" fillId="2" borderId="0" xfId="0" applyFont="1" applyFill="1" applyAlignment="1">
      <alignment horizontal="center" wrapText="1"/>
    </xf>
    <xf numFmtId="0" fontId="26" fillId="0" borderId="32" xfId="0" applyFont="1" applyBorder="1" applyAlignment="1">
      <alignment horizontal="center" vertical="center" wrapText="1"/>
    </xf>
    <xf numFmtId="0" fontId="17" fillId="2" borderId="52" xfId="0" applyFont="1" applyFill="1" applyBorder="1" applyAlignment="1">
      <alignment horizontal="center" vertical="center" wrapText="1"/>
    </xf>
    <xf numFmtId="0" fontId="17" fillId="2" borderId="44" xfId="0" applyFont="1" applyFill="1" applyBorder="1" applyAlignment="1">
      <alignment horizontal="center" vertical="center" wrapText="1"/>
    </xf>
    <xf numFmtId="0" fontId="19" fillId="2" borderId="0" xfId="0" applyFont="1" applyFill="1" applyAlignment="1">
      <alignment horizontal="center" vertical="center" wrapText="1"/>
    </xf>
    <xf numFmtId="0" fontId="17" fillId="2" borderId="53" xfId="0" applyFont="1" applyFill="1" applyBorder="1" applyAlignment="1">
      <alignment horizontal="center" vertical="center"/>
    </xf>
    <xf numFmtId="0" fontId="17" fillId="2" borderId="54" xfId="0" applyFont="1" applyFill="1" applyBorder="1" applyAlignment="1">
      <alignment horizontal="center" vertical="center"/>
    </xf>
    <xf numFmtId="0" fontId="17" fillId="2" borderId="55" xfId="0" applyFont="1" applyFill="1" applyBorder="1" applyAlignment="1">
      <alignment horizontal="center" vertical="center" wrapText="1"/>
    </xf>
    <xf numFmtId="0" fontId="32" fillId="0" borderId="33" xfId="0" applyFont="1" applyBorder="1" applyAlignment="1">
      <alignment horizontal="center" wrapText="1"/>
    </xf>
    <xf numFmtId="0" fontId="32" fillId="2" borderId="26" xfId="0" applyFont="1" applyFill="1" applyBorder="1" applyAlignment="1">
      <alignment horizontal="center" wrapText="1"/>
    </xf>
    <xf numFmtId="0" fontId="7" fillId="2" borderId="31" xfId="0" applyFont="1" applyFill="1" applyBorder="1" applyAlignment="1">
      <alignment horizontal="center" wrapText="1"/>
    </xf>
    <xf numFmtId="0" fontId="7" fillId="20" borderId="29" xfId="0" applyFont="1" applyFill="1" applyBorder="1" applyAlignment="1">
      <alignment horizontal="center" wrapText="1"/>
    </xf>
    <xf numFmtId="0" fontId="7" fillId="20" borderId="37" xfId="0" applyFont="1" applyFill="1" applyBorder="1" applyAlignment="1">
      <alignment horizontal="center" wrapText="1"/>
    </xf>
    <xf numFmtId="0" fontId="7" fillId="20" borderId="32" xfId="0" applyFont="1" applyFill="1" applyBorder="1" applyAlignment="1">
      <alignment horizontal="center"/>
    </xf>
    <xf numFmtId="0" fontId="7" fillId="20" borderId="37" xfId="0" applyFont="1" applyFill="1" applyBorder="1" applyAlignment="1">
      <alignment horizontal="center"/>
    </xf>
    <xf numFmtId="0" fontId="7" fillId="20" borderId="33" xfId="0" applyFont="1" applyFill="1" applyBorder="1" applyAlignment="1">
      <alignment horizontal="center" wrapText="1"/>
    </xf>
    <xf numFmtId="0" fontId="7" fillId="20" borderId="31" xfId="0" applyFont="1" applyFill="1" applyBorder="1" applyAlignment="1">
      <alignment horizontal="center" wrapText="1"/>
    </xf>
    <xf numFmtId="0" fontId="7" fillId="20" borderId="0" xfId="0" applyFont="1" applyFill="1" applyAlignment="1">
      <alignment horizontal="center" wrapText="1"/>
    </xf>
    <xf numFmtId="0" fontId="7" fillId="20" borderId="29" xfId="0" applyFont="1" applyFill="1" applyBorder="1" applyAlignment="1">
      <alignment horizontal="center"/>
    </xf>
    <xf numFmtId="0" fontId="7" fillId="20" borderId="33" xfId="0" applyFont="1" applyFill="1" applyBorder="1" applyAlignment="1">
      <alignment horizontal="center"/>
    </xf>
    <xf numFmtId="0" fontId="7" fillId="2" borderId="37" xfId="0" applyFont="1" applyFill="1" applyBorder="1" applyAlignment="1">
      <alignment horizontal="center" vertical="center"/>
    </xf>
    <xf numFmtId="0" fontId="7" fillId="0" borderId="29" xfId="0" applyFont="1" applyBorder="1" applyAlignment="1">
      <alignment horizontal="center" vertical="center" wrapText="1"/>
    </xf>
    <xf numFmtId="0" fontId="7" fillId="2" borderId="38" xfId="0" applyFont="1" applyFill="1" applyBorder="1" applyAlignment="1">
      <alignment horizontal="center" vertical="center" wrapText="1" indent="1"/>
    </xf>
    <xf numFmtId="0" fontId="7" fillId="2" borderId="30" xfId="0" applyFont="1" applyFill="1" applyBorder="1" applyAlignment="1">
      <alignment horizontal="center" vertical="center"/>
    </xf>
    <xf numFmtId="0" fontId="7" fillId="2" borderId="30" xfId="0" applyFont="1" applyFill="1" applyBorder="1" applyAlignment="1">
      <alignment horizontal="center" vertical="center" wrapText="1" indent="1"/>
    </xf>
    <xf numFmtId="0" fontId="7" fillId="0" borderId="30" xfId="0" applyFont="1" applyBorder="1" applyAlignment="1">
      <alignment horizontal="center" vertical="center" wrapText="1"/>
    </xf>
    <xf numFmtId="0" fontId="7" fillId="2" borderId="41" xfId="0" applyFont="1" applyFill="1" applyBorder="1" applyAlignment="1">
      <alignment horizontal="center" vertical="center" wrapText="1"/>
    </xf>
    <xf numFmtId="0" fontId="7" fillId="2" borderId="29" xfId="0" applyFont="1" applyFill="1" applyBorder="1" applyAlignment="1">
      <alignment horizontal="center" wrapText="1"/>
    </xf>
    <xf numFmtId="0" fontId="7" fillId="2" borderId="33" xfId="0" applyFont="1" applyFill="1" applyBorder="1" applyAlignment="1">
      <alignment horizontal="center"/>
    </xf>
    <xf numFmtId="0" fontId="7" fillId="2" borderId="37" xfId="0" applyFont="1" applyFill="1" applyBorder="1" applyAlignment="1">
      <alignment horizontal="center" wrapText="1"/>
    </xf>
    <xf numFmtId="0" fontId="7" fillId="2" borderId="38" xfId="0" applyFont="1" applyFill="1" applyBorder="1" applyAlignment="1">
      <alignment horizontal="center"/>
    </xf>
    <xf numFmtId="0" fontId="34" fillId="2" borderId="31" xfId="0" applyFont="1" applyFill="1" applyBorder="1" applyAlignment="1">
      <alignment horizontal="center" wrapText="1"/>
    </xf>
    <xf numFmtId="0" fontId="7" fillId="2" borderId="39" xfId="0" applyFont="1" applyFill="1" applyBorder="1" applyAlignment="1">
      <alignment horizontal="center"/>
    </xf>
    <xf numFmtId="0" fontId="7" fillId="2" borderId="34" xfId="0" applyFont="1" applyFill="1" applyBorder="1" applyAlignment="1">
      <alignment horizontal="center" vertical="center" wrapText="1"/>
    </xf>
    <xf numFmtId="0" fontId="7" fillId="2" borderId="30" xfId="0" applyFont="1" applyFill="1" applyBorder="1" applyAlignment="1">
      <alignment horizontal="center"/>
    </xf>
    <xf numFmtId="0" fontId="7" fillId="2" borderId="33" xfId="0" applyFont="1" applyFill="1" applyBorder="1" applyAlignment="1">
      <alignment horizontal="center" wrapText="1"/>
    </xf>
    <xf numFmtId="0" fontId="7" fillId="2" borderId="0" xfId="0" applyFont="1" applyFill="1" applyAlignment="1">
      <alignment horizontal="center"/>
    </xf>
    <xf numFmtId="0" fontId="7" fillId="2" borderId="38" xfId="0" applyFont="1" applyFill="1" applyBorder="1" applyAlignment="1">
      <alignment horizontal="center" wrapText="1"/>
    </xf>
    <xf numFmtId="0" fontId="7" fillId="2" borderId="35" xfId="0" applyFont="1" applyFill="1" applyBorder="1" applyAlignment="1">
      <alignment horizontal="center"/>
    </xf>
    <xf numFmtId="0" fontId="34" fillId="2" borderId="34" xfId="0" applyFont="1" applyFill="1" applyBorder="1" applyAlignment="1">
      <alignment horizontal="center" wrapText="1"/>
    </xf>
    <xf numFmtId="0" fontId="7" fillId="2" borderId="36" xfId="0" applyFont="1" applyFill="1" applyBorder="1" applyAlignment="1">
      <alignment horizontal="center"/>
    </xf>
    <xf numFmtId="0" fontId="7" fillId="2" borderId="35" xfId="0" applyFont="1" applyFill="1" applyBorder="1" applyAlignment="1">
      <alignment horizontal="center" wrapText="1"/>
    </xf>
    <xf numFmtId="0" fontId="7" fillId="2" borderId="28" xfId="0" applyFont="1" applyFill="1" applyBorder="1" applyAlignment="1">
      <alignment horizontal="center" vertical="center"/>
    </xf>
    <xf numFmtId="0" fontId="6" fillId="8" borderId="26" xfId="0" applyFont="1" applyFill="1" applyBorder="1" applyAlignment="1">
      <alignment horizontal="center" vertical="center"/>
    </xf>
    <xf numFmtId="0" fontId="6" fillId="8" borderId="26" xfId="0" applyFont="1" applyFill="1" applyBorder="1" applyAlignment="1">
      <alignment horizontal="center" vertical="center" wrapText="1"/>
    </xf>
    <xf numFmtId="49" fontId="7" fillId="10" borderId="26" xfId="0" applyNumberFormat="1" applyFont="1" applyFill="1" applyBorder="1" applyAlignment="1">
      <alignment vertical="center"/>
    </xf>
    <xf numFmtId="0" fontId="7" fillId="10" borderId="26" xfId="0" applyFont="1" applyFill="1" applyBorder="1" applyAlignment="1">
      <alignment vertical="center"/>
    </xf>
    <xf numFmtId="0" fontId="7" fillId="10" borderId="26" xfId="0" applyFont="1" applyFill="1" applyBorder="1" applyAlignment="1">
      <alignment vertical="center" wrapText="1"/>
    </xf>
    <xf numFmtId="0" fontId="7" fillId="10" borderId="26" xfId="0" quotePrefix="1" applyFont="1" applyFill="1" applyBorder="1" applyAlignment="1">
      <alignment vertical="center" wrapText="1"/>
    </xf>
    <xf numFmtId="0" fontId="7" fillId="10" borderId="26" xfId="0" applyFont="1" applyFill="1" applyBorder="1" applyAlignment="1">
      <alignment horizontal="left" vertical="center"/>
    </xf>
    <xf numFmtId="49" fontId="7" fillId="10" borderId="26" xfId="0" applyNumberFormat="1" applyFont="1" applyFill="1" applyBorder="1" applyAlignment="1">
      <alignment vertical="center" wrapText="1"/>
    </xf>
    <xf numFmtId="0" fontId="7" fillId="10" borderId="26" xfId="0" quotePrefix="1" applyFont="1" applyFill="1" applyBorder="1" applyAlignment="1">
      <alignment vertical="center"/>
    </xf>
    <xf numFmtId="0" fontId="7" fillId="2" borderId="0" xfId="0" applyFont="1" applyFill="1" applyAlignment="1">
      <alignment wrapText="1"/>
    </xf>
    <xf numFmtId="0" fontId="21" fillId="2" borderId="1" xfId="0" applyFont="1" applyFill="1" applyBorder="1"/>
    <xf numFmtId="0" fontId="21" fillId="2" borderId="1" xfId="0" applyFont="1" applyFill="1" applyBorder="1" applyAlignment="1">
      <alignment wrapText="1"/>
    </xf>
    <xf numFmtId="0" fontId="21" fillId="2" borderId="13" xfId="0" applyFont="1" applyFill="1" applyBorder="1" applyAlignment="1">
      <alignment wrapText="1"/>
    </xf>
    <xf numFmtId="0" fontId="21" fillId="2" borderId="26" xfId="0" applyFont="1" applyFill="1" applyBorder="1" applyAlignment="1">
      <alignment wrapText="1"/>
    </xf>
    <xf numFmtId="0" fontId="21" fillId="2" borderId="14" xfId="0" applyFont="1" applyFill="1" applyBorder="1"/>
    <xf numFmtId="0" fontId="3" fillId="20" borderId="3" xfId="2" applyFill="1" applyBorder="1" applyAlignment="1"/>
    <xf numFmtId="0" fontId="3" fillId="20" borderId="47" xfId="2" applyFill="1" applyBorder="1" applyAlignment="1"/>
    <xf numFmtId="0" fontId="33" fillId="0" borderId="0" xfId="0" applyFont="1" applyAlignment="1">
      <alignment wrapText="1"/>
    </xf>
    <xf numFmtId="0" fontId="3" fillId="20" borderId="3" xfId="1" applyFill="1" applyBorder="1"/>
    <xf numFmtId="0" fontId="35" fillId="2" borderId="1" xfId="0" applyFont="1" applyFill="1" applyBorder="1" applyAlignment="1">
      <alignment wrapText="1"/>
    </xf>
    <xf numFmtId="0" fontId="35" fillId="2" borderId="1" xfId="0" applyFont="1" applyFill="1" applyBorder="1"/>
    <xf numFmtId="0" fontId="35" fillId="2" borderId="13" xfId="0" applyFont="1" applyFill="1" applyBorder="1" applyAlignment="1">
      <alignment wrapText="1"/>
    </xf>
    <xf numFmtId="0" fontId="35" fillId="2" borderId="26" xfId="0" applyFont="1" applyFill="1" applyBorder="1" applyAlignment="1">
      <alignment wrapText="1"/>
    </xf>
    <xf numFmtId="0" fontId="35" fillId="2" borderId="57" xfId="0" applyFont="1" applyFill="1" applyBorder="1" applyAlignment="1">
      <alignment wrapText="1"/>
    </xf>
    <xf numFmtId="0" fontId="21" fillId="2" borderId="0" xfId="0" applyFont="1" applyFill="1" applyAlignment="1">
      <alignment wrapText="1"/>
    </xf>
    <xf numFmtId="0" fontId="21" fillId="2" borderId="0" xfId="0" applyFont="1" applyFill="1"/>
    <xf numFmtId="0" fontId="3" fillId="20" borderId="58" xfId="2" applyFill="1" applyBorder="1" applyAlignment="1"/>
    <xf numFmtId="0" fontId="3" fillId="20" borderId="59" xfId="2" applyFill="1" applyBorder="1" applyAlignment="1"/>
    <xf numFmtId="0" fontId="21" fillId="2" borderId="60" xfId="0" applyFont="1" applyFill="1" applyBorder="1" applyAlignment="1">
      <alignment wrapText="1"/>
    </xf>
    <xf numFmtId="0" fontId="33" fillId="0" borderId="38" xfId="0" applyFont="1" applyBorder="1" applyAlignment="1">
      <alignment wrapText="1"/>
    </xf>
    <xf numFmtId="0" fontId="21" fillId="2" borderId="61" xfId="0" applyFont="1" applyFill="1" applyBorder="1" applyAlignment="1">
      <alignment wrapText="1"/>
    </xf>
    <xf numFmtId="0" fontId="6" fillId="8" borderId="47" xfId="0" applyFont="1" applyFill="1" applyBorder="1" applyAlignment="1">
      <alignment horizontal="center" vertical="center" wrapText="1"/>
    </xf>
    <xf numFmtId="0" fontId="7" fillId="10" borderId="15" xfId="0" applyFont="1" applyFill="1" applyBorder="1" applyAlignment="1">
      <alignment vertical="center" wrapText="1"/>
    </xf>
    <xf numFmtId="0" fontId="35" fillId="2" borderId="0" xfId="0" applyFont="1" applyFill="1"/>
    <xf numFmtId="0" fontId="35" fillId="2" borderId="0" xfId="0" applyFont="1" applyFill="1" applyAlignment="1">
      <alignment wrapText="1"/>
    </xf>
    <xf numFmtId="0" fontId="0" fillId="4" borderId="62" xfId="0" applyFill="1" applyBorder="1" applyAlignment="1">
      <alignment vertical="center"/>
    </xf>
    <xf numFmtId="0" fontId="11" fillId="2" borderId="21" xfId="1" applyFont="1" applyFill="1" applyBorder="1" applyAlignment="1">
      <alignment horizontal="center" vertical="center"/>
    </xf>
    <xf numFmtId="0" fontId="0" fillId="0" borderId="26" xfId="0" applyBorder="1" applyAlignment="1">
      <alignment vertical="center"/>
    </xf>
    <xf numFmtId="0" fontId="33" fillId="0" borderId="26" xfId="0" applyFont="1" applyBorder="1" applyAlignment="1">
      <alignment wrapText="1"/>
    </xf>
    <xf numFmtId="0" fontId="7" fillId="10" borderId="63" xfId="0" applyFont="1" applyFill="1" applyBorder="1" applyAlignment="1">
      <alignment vertical="center" wrapText="1"/>
    </xf>
    <xf numFmtId="0" fontId="3" fillId="20" borderId="11" xfId="1" applyFill="1" applyBorder="1"/>
    <xf numFmtId="0" fontId="7" fillId="10" borderId="46" xfId="0" applyFont="1" applyFill="1" applyBorder="1" applyAlignment="1">
      <alignment vertical="center" wrapText="1"/>
    </xf>
    <xf numFmtId="0" fontId="35" fillId="2" borderId="64" xfId="0" applyFont="1" applyFill="1" applyBorder="1" applyAlignment="1">
      <alignment wrapText="1"/>
    </xf>
    <xf numFmtId="0" fontId="3" fillId="20" borderId="11" xfId="1" applyFill="1" applyBorder="1" applyAlignment="1">
      <alignment wrapText="1"/>
    </xf>
    <xf numFmtId="0" fontId="3" fillId="20" borderId="47" xfId="1" applyFill="1" applyBorder="1"/>
    <xf numFmtId="0" fontId="35" fillId="2" borderId="13" xfId="0" applyFont="1" applyFill="1" applyBorder="1"/>
    <xf numFmtId="0" fontId="3" fillId="20" borderId="58" xfId="1" applyFill="1" applyBorder="1"/>
    <xf numFmtId="0" fontId="3" fillId="20" borderId="59" xfId="1" applyFill="1" applyBorder="1"/>
    <xf numFmtId="0" fontId="3" fillId="20" borderId="65" xfId="1" applyFill="1" applyBorder="1"/>
    <xf numFmtId="0" fontId="3" fillId="20" borderId="66" xfId="1" applyFill="1" applyBorder="1"/>
    <xf numFmtId="0" fontId="35" fillId="2" borderId="60" xfId="0" applyFont="1" applyFill="1" applyBorder="1" applyAlignment="1">
      <alignment wrapText="1"/>
    </xf>
    <xf numFmtId="0" fontId="35" fillId="2" borderId="67" xfId="0" applyFont="1" applyFill="1" applyBorder="1" applyAlignment="1">
      <alignment wrapText="1"/>
    </xf>
    <xf numFmtId="0" fontId="35" fillId="2" borderId="48" xfId="0" applyFont="1" applyFill="1" applyBorder="1"/>
    <xf numFmtId="0" fontId="35" fillId="2" borderId="68" xfId="0" applyFont="1" applyFill="1" applyBorder="1"/>
    <xf numFmtId="49" fontId="7" fillId="10" borderId="15" xfId="0" applyNumberFormat="1" applyFont="1" applyFill="1" applyBorder="1" applyAlignment="1">
      <alignment vertical="center" wrapText="1"/>
    </xf>
    <xf numFmtId="0" fontId="3" fillId="20" borderId="3" xfId="1" applyFill="1" applyBorder="1" applyAlignment="1">
      <alignment wrapText="1"/>
    </xf>
    <xf numFmtId="0" fontId="35" fillId="2" borderId="26" xfId="0" applyFont="1" applyFill="1" applyBorder="1"/>
    <xf numFmtId="0" fontId="35" fillId="2" borderId="15" xfId="0" applyFont="1" applyFill="1" applyBorder="1" applyAlignment="1">
      <alignment wrapText="1"/>
    </xf>
    <xf numFmtId="49" fontId="7" fillId="10" borderId="27" xfId="0" applyNumberFormat="1" applyFont="1" applyFill="1" applyBorder="1" applyAlignment="1">
      <alignment vertical="center" wrapText="1"/>
    </xf>
    <xf numFmtId="0" fontId="3" fillId="20" borderId="0" xfId="1" applyFill="1" applyBorder="1"/>
    <xf numFmtId="0" fontId="35" fillId="2" borderId="15" xfId="0" applyFont="1" applyFill="1" applyBorder="1"/>
    <xf numFmtId="0" fontId="35" fillId="2" borderId="21" xfId="0" applyFont="1" applyFill="1" applyBorder="1"/>
    <xf numFmtId="0" fontId="35" fillId="2" borderId="27" xfId="0" applyFont="1" applyFill="1" applyBorder="1"/>
    <xf numFmtId="0" fontId="7" fillId="11" borderId="5" xfId="0" applyFont="1" applyFill="1" applyBorder="1" applyAlignment="1">
      <alignment horizontal="left" vertical="center" wrapText="1"/>
    </xf>
    <xf numFmtId="0" fontId="7" fillId="11" borderId="7"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7" fillId="11" borderId="8" xfId="0" applyFont="1" applyFill="1" applyBorder="1" applyAlignment="1">
      <alignment horizontal="left" vertical="center" wrapText="1"/>
    </xf>
    <xf numFmtId="0" fontId="3" fillId="11" borderId="21" xfId="1" applyFill="1" applyBorder="1" applyAlignment="1">
      <alignment horizontal="center" vertical="center"/>
    </xf>
    <xf numFmtId="0" fontId="3" fillId="11" borderId="22" xfId="1" applyFill="1" applyBorder="1" applyAlignment="1">
      <alignment horizontal="center" vertical="center"/>
    </xf>
    <xf numFmtId="0" fontId="35" fillId="2" borderId="27" xfId="0" applyFont="1" applyFill="1" applyBorder="1" applyAlignment="1">
      <alignment wrapText="1"/>
    </xf>
    <xf numFmtId="0" fontId="35" fillId="2" borderId="14" xfId="0" applyFont="1" applyFill="1" applyBorder="1"/>
    <xf numFmtId="0" fontId="13" fillId="10" borderId="1" xfId="1" applyFont="1" applyFill="1" applyBorder="1" applyAlignment="1">
      <alignment vertical="center"/>
    </xf>
    <xf numFmtId="1" fontId="0" fillId="0" borderId="26" xfId="1" applyNumberFormat="1" applyFont="1" applyBorder="1" applyAlignment="1">
      <alignment horizontal="center"/>
    </xf>
    <xf numFmtId="0" fontId="0" fillId="20" borderId="32" xfId="0" applyFill="1" applyBorder="1" applyAlignment="1">
      <alignment horizontal="center" wrapText="1"/>
    </xf>
    <xf numFmtId="0" fontId="17" fillId="2" borderId="26" xfId="0" applyFont="1" applyFill="1" applyBorder="1" applyAlignment="1">
      <alignment horizontal="center" vertical="center" wrapText="1"/>
    </xf>
    <xf numFmtId="0" fontId="7" fillId="2" borderId="31" xfId="0" applyFont="1" applyFill="1" applyBorder="1" applyAlignment="1">
      <alignment vertical="center" wrapText="1"/>
    </xf>
    <xf numFmtId="0" fontId="0" fillId="2" borderId="0" xfId="0" applyFill="1" applyAlignment="1">
      <alignment horizontal="center" wrapText="1"/>
    </xf>
    <xf numFmtId="0" fontId="0" fillId="2" borderId="31" xfId="0" applyFill="1" applyBorder="1" applyAlignment="1">
      <alignment wrapText="1"/>
    </xf>
    <xf numFmtId="0" fontId="17" fillId="2" borderId="32" xfId="0" applyFont="1" applyFill="1" applyBorder="1" applyAlignment="1">
      <alignment horizontal="center" wrapText="1"/>
    </xf>
    <xf numFmtId="0" fontId="0" fillId="2" borderId="32" xfId="0" applyFill="1" applyBorder="1" applyAlignment="1">
      <alignment horizontal="center" wrapText="1"/>
    </xf>
    <xf numFmtId="0" fontId="0" fillId="2" borderId="37" xfId="0" applyFill="1" applyBorder="1" applyAlignment="1">
      <alignment horizontal="center" wrapText="1"/>
    </xf>
    <xf numFmtId="0" fontId="7" fillId="2" borderId="32" xfId="0" applyFont="1" applyFill="1" applyBorder="1" applyAlignment="1">
      <alignment horizontal="center" wrapText="1"/>
    </xf>
    <xf numFmtId="0" fontId="17" fillId="2" borderId="38" xfId="0" applyFont="1" applyFill="1" applyBorder="1" applyAlignment="1">
      <alignment horizontal="center" wrapText="1"/>
    </xf>
    <xf numFmtId="0" fontId="0" fillId="2" borderId="41" xfId="0" applyFill="1" applyBorder="1" applyAlignment="1">
      <alignment horizontal="center" wrapText="1"/>
    </xf>
    <xf numFmtId="0" fontId="0" fillId="20" borderId="30" xfId="0" applyFill="1" applyBorder="1" applyAlignment="1">
      <alignment wrapText="1"/>
    </xf>
    <xf numFmtId="0" fontId="0" fillId="20" borderId="38" xfId="0" applyFill="1" applyBorder="1" applyAlignment="1">
      <alignment wrapText="1"/>
    </xf>
    <xf numFmtId="0" fontId="27" fillId="0" borderId="30" xfId="0" applyFont="1" applyBorder="1" applyAlignment="1">
      <alignment wrapText="1"/>
    </xf>
    <xf numFmtId="0" fontId="22" fillId="2" borderId="39" xfId="0" applyFont="1" applyFill="1" applyBorder="1" applyAlignment="1">
      <alignment horizontal="center" vertical="center" wrapText="1"/>
    </xf>
    <xf numFmtId="0" fontId="22" fillId="2" borderId="30" xfId="0" applyFont="1" applyFill="1" applyBorder="1" applyAlignment="1">
      <alignment horizontal="left" vertical="center" wrapText="1"/>
    </xf>
    <xf numFmtId="0" fontId="0" fillId="2" borderId="27" xfId="0" applyFill="1" applyBorder="1" applyAlignment="1">
      <alignment horizontal="left" vertical="center" wrapText="1"/>
    </xf>
    <xf numFmtId="0" fontId="0" fillId="2" borderId="26" xfId="0" applyFill="1" applyBorder="1" applyAlignment="1">
      <alignment horizontal="left" vertical="top" wrapText="1"/>
    </xf>
    <xf numFmtId="0" fontId="0" fillId="2" borderId="26" xfId="0" applyFill="1" applyBorder="1" applyAlignment="1">
      <alignment horizontal="left" vertical="center" wrapText="1"/>
    </xf>
    <xf numFmtId="0" fontId="0" fillId="2" borderId="35" xfId="0" applyFill="1" applyBorder="1" applyAlignment="1">
      <alignment horizontal="left" vertical="center"/>
    </xf>
    <xf numFmtId="0" fontId="0" fillId="2" borderId="26" xfId="0" applyFill="1" applyBorder="1" applyAlignment="1">
      <alignment vertical="center"/>
    </xf>
    <xf numFmtId="0" fontId="0" fillId="2" borderId="27" xfId="0" applyFill="1" applyBorder="1" applyAlignment="1">
      <alignment vertical="center"/>
    </xf>
    <xf numFmtId="0" fontId="0" fillId="2" borderId="27" xfId="0" applyFill="1" applyBorder="1" applyAlignment="1">
      <alignment wrapText="1"/>
    </xf>
    <xf numFmtId="0" fontId="0" fillId="2" borderId="32" xfId="0" applyFill="1" applyBorder="1" applyAlignment="1">
      <alignment horizontal="left" vertical="center"/>
    </xf>
    <xf numFmtId="0" fontId="0" fillId="2" borderId="37" xfId="0" applyFill="1" applyBorder="1" applyAlignment="1">
      <alignment vertical="center"/>
    </xf>
    <xf numFmtId="0" fontId="0" fillId="2" borderId="26" xfId="0" applyFill="1" applyBorder="1" applyAlignment="1">
      <alignment vertical="center" wrapText="1"/>
    </xf>
    <xf numFmtId="0" fontId="0" fillId="0" borderId="37" xfId="0" applyBorder="1" applyAlignment="1">
      <alignment vertical="center" wrapText="1"/>
    </xf>
    <xf numFmtId="0" fontId="0" fillId="2" borderId="27" xfId="0" applyFill="1" applyBorder="1" applyAlignment="1">
      <alignment vertical="center" wrapText="1"/>
    </xf>
    <xf numFmtId="0" fontId="0" fillId="0" borderId="27" xfId="0" applyBorder="1" applyAlignment="1">
      <alignment vertical="center" wrapText="1"/>
    </xf>
    <xf numFmtId="0" fontId="27" fillId="0" borderId="0" xfId="0" applyFont="1" applyAlignment="1">
      <alignment vertical="center" wrapText="1"/>
    </xf>
    <xf numFmtId="0" fontId="0" fillId="0" borderId="39" xfId="0" applyBorder="1" applyAlignment="1">
      <alignment vertical="center"/>
    </xf>
    <xf numFmtId="0" fontId="0" fillId="0" borderId="34" xfId="0" applyBorder="1" applyAlignment="1">
      <alignment vertical="center"/>
    </xf>
    <xf numFmtId="0" fontId="0" fillId="0" borderId="31" xfId="0" applyBorder="1" applyAlignment="1">
      <alignment vertical="center"/>
    </xf>
    <xf numFmtId="0" fontId="28" fillId="0" borderId="29" xfId="0" applyFont="1" applyBorder="1" applyAlignment="1">
      <alignment vertical="center" wrapText="1"/>
    </xf>
    <xf numFmtId="0" fontId="28" fillId="0" borderId="26" xfId="0" applyFont="1" applyBorder="1" applyAlignment="1">
      <alignment horizontal="center" vertical="center" wrapText="1"/>
    </xf>
    <xf numFmtId="0" fontId="28" fillId="0" borderId="26" xfId="0" applyFont="1" applyBorder="1" applyAlignment="1">
      <alignment horizontal="left" vertical="center" wrapText="1"/>
    </xf>
    <xf numFmtId="0" fontId="28" fillId="0" borderId="0" xfId="0" applyFont="1" applyAlignment="1">
      <alignment horizontal="left" vertical="center" wrapText="1"/>
    </xf>
    <xf numFmtId="0" fontId="0" fillId="2" borderId="29" xfId="0" applyFill="1" applyBorder="1" applyAlignment="1">
      <alignment horizontal="left" vertical="center" wrapText="1"/>
    </xf>
    <xf numFmtId="0" fontId="0" fillId="2" borderId="29" xfId="0" applyFill="1" applyBorder="1" applyAlignment="1">
      <alignment horizontal="left" vertical="top" wrapText="1"/>
    </xf>
    <xf numFmtId="0" fontId="0" fillId="2" borderId="32" xfId="0" applyFill="1" applyBorder="1" applyAlignment="1">
      <alignment horizontal="left" vertical="center" wrapText="1"/>
    </xf>
    <xf numFmtId="0" fontId="0" fillId="2" borderId="27" xfId="0" applyFill="1" applyBorder="1" applyAlignment="1">
      <alignment horizontal="left" vertical="top" wrapText="1"/>
    </xf>
    <xf numFmtId="0" fontId="27" fillId="0" borderId="29" xfId="0" applyFont="1" applyBorder="1" applyAlignment="1">
      <alignment vertical="center" wrapText="1"/>
    </xf>
    <xf numFmtId="0" fontId="27" fillId="0" borderId="26" xfId="0" applyFont="1" applyBorder="1" applyAlignment="1">
      <alignment vertical="center" wrapText="1"/>
    </xf>
    <xf numFmtId="0" fontId="19" fillId="2" borderId="39" xfId="0" applyFont="1" applyFill="1" applyBorder="1" applyAlignment="1">
      <alignment horizontal="center" vertical="center" wrapText="1"/>
    </xf>
    <xf numFmtId="0" fontId="23" fillId="2" borderId="39" xfId="0" applyFont="1" applyFill="1" applyBorder="1" applyAlignment="1">
      <alignment horizontal="center" wrapText="1"/>
    </xf>
    <xf numFmtId="0" fontId="7" fillId="2" borderId="26" xfId="0" applyFont="1" applyFill="1" applyBorder="1" applyAlignment="1">
      <alignment vertical="center" wrapText="1"/>
    </xf>
    <xf numFmtId="0" fontId="17" fillId="2" borderId="29" xfId="0" applyFont="1" applyFill="1" applyBorder="1" applyAlignment="1">
      <alignment wrapText="1"/>
    </xf>
    <xf numFmtId="0" fontId="0" fillId="0" borderId="28" xfId="0" applyBorder="1" applyAlignment="1">
      <alignment horizontal="center" vertical="center"/>
    </xf>
    <xf numFmtId="0" fontId="27" fillId="0" borderId="37" xfId="0" applyFont="1" applyBorder="1" applyAlignment="1">
      <alignment horizontal="center" vertical="center" wrapText="1"/>
    </xf>
    <xf numFmtId="0" fontId="0" fillId="2" borderId="69" xfId="0" applyFill="1" applyBorder="1" applyAlignment="1">
      <alignment horizontal="center" vertical="center" wrapText="1"/>
    </xf>
    <xf numFmtId="0" fontId="27" fillId="0" borderId="35" xfId="0" applyFont="1" applyBorder="1" applyAlignment="1">
      <alignment horizontal="center" vertical="center" wrapText="1"/>
    </xf>
    <xf numFmtId="0" fontId="27" fillId="2" borderId="29" xfId="0" applyFont="1" applyFill="1" applyBorder="1" applyAlignment="1">
      <alignment horizontal="center" vertical="center" wrapText="1"/>
    </xf>
    <xf numFmtId="0" fontId="1" fillId="0" borderId="28" xfId="0" applyFont="1" applyBorder="1" applyAlignment="1">
      <alignment horizontal="center" vertical="center" wrapText="1"/>
    </xf>
    <xf numFmtId="0" fontId="1" fillId="2" borderId="26" xfId="0" applyFont="1" applyFill="1" applyBorder="1" applyAlignment="1">
      <alignment vertical="center" wrapText="1"/>
    </xf>
    <xf numFmtId="0" fontId="1" fillId="2" borderId="27" xfId="0" applyFont="1" applyFill="1" applyBorder="1" applyAlignment="1">
      <alignment vertical="center" wrapText="1"/>
    </xf>
    <xf numFmtId="0" fontId="0" fillId="0" borderId="40" xfId="0" applyBorder="1" applyAlignment="1">
      <alignment wrapText="1"/>
    </xf>
    <xf numFmtId="0" fontId="0" fillId="2" borderId="40" xfId="0" applyFill="1" applyBorder="1" applyAlignment="1">
      <alignment wrapText="1"/>
    </xf>
    <xf numFmtId="0" fontId="17" fillId="2" borderId="57" xfId="0" applyFont="1" applyFill="1" applyBorder="1" applyAlignment="1">
      <alignment horizontal="center" vertical="center" wrapText="1"/>
    </xf>
    <xf numFmtId="0" fontId="7" fillId="2" borderId="27" xfId="0" applyFont="1" applyFill="1" applyBorder="1" applyAlignment="1">
      <alignment horizontal="left" vertical="center" wrapText="1"/>
    </xf>
    <xf numFmtId="0" fontId="19" fillId="0" borderId="30" xfId="0" applyFont="1" applyBorder="1" applyAlignment="1">
      <alignment horizontal="left" vertical="center" wrapText="1"/>
    </xf>
    <xf numFmtId="0" fontId="19" fillId="0" borderId="0" xfId="0" applyFont="1" applyAlignment="1">
      <alignment horizontal="left" vertical="center" wrapText="1"/>
    </xf>
    <xf numFmtId="0" fontId="19" fillId="0" borderId="29" xfId="0" applyFont="1" applyBorder="1" applyAlignment="1">
      <alignment horizontal="left" vertical="center" wrapText="1"/>
    </xf>
    <xf numFmtId="0" fontId="19" fillId="0" borderId="26" xfId="0" applyFont="1" applyBorder="1" applyAlignment="1">
      <alignment horizontal="left" vertical="center" wrapText="1"/>
    </xf>
    <xf numFmtId="0" fontId="0" fillId="0" borderId="26" xfId="0" applyBorder="1" applyAlignment="1">
      <alignment horizontal="left" vertical="center" wrapText="1"/>
    </xf>
    <xf numFmtId="0" fontId="19" fillId="0" borderId="31" xfId="0" applyFont="1" applyBorder="1" applyAlignment="1">
      <alignment horizontal="left" vertical="center" wrapText="1"/>
    </xf>
    <xf numFmtId="0" fontId="0" fillId="0" borderId="28" xfId="0" applyBorder="1" applyAlignment="1">
      <alignment horizontal="left" vertical="center" wrapText="1"/>
    </xf>
    <xf numFmtId="0" fontId="35" fillId="2" borderId="26" xfId="0" applyFont="1" applyFill="1" applyBorder="1" applyAlignment="1">
      <alignment horizontal="left" vertical="center" wrapText="1"/>
    </xf>
    <xf numFmtId="0" fontId="1" fillId="2" borderId="28" xfId="0" applyFont="1" applyFill="1" applyBorder="1" applyAlignment="1">
      <alignment horizontal="left" vertical="center" wrapText="1"/>
    </xf>
    <xf numFmtId="0" fontId="1" fillId="0" borderId="40" xfId="0" applyFont="1" applyBorder="1" applyAlignment="1">
      <alignment horizontal="left" vertical="center" wrapText="1"/>
    </xf>
    <xf numFmtId="0" fontId="1" fillId="2" borderId="27" xfId="0" applyFont="1" applyFill="1" applyBorder="1" applyAlignment="1">
      <alignment horizontal="left" vertical="center" wrapText="1"/>
    </xf>
    <xf numFmtId="0" fontId="21" fillId="0" borderId="26" xfId="0" applyFont="1" applyBorder="1" applyAlignment="1">
      <alignment horizontal="left" vertical="center" wrapText="1"/>
    </xf>
    <xf numFmtId="0" fontId="23" fillId="0" borderId="0" xfId="0" applyFont="1" applyAlignment="1">
      <alignment horizontal="left" vertical="center" wrapText="1"/>
    </xf>
    <xf numFmtId="0" fontId="0" fillId="0" borderId="35" xfId="0" applyBorder="1" applyAlignment="1">
      <alignment horizontal="left" vertical="center" wrapText="1"/>
    </xf>
    <xf numFmtId="0" fontId="23" fillId="0" borderId="31" xfId="0" applyFont="1" applyBorder="1" applyAlignment="1">
      <alignment horizontal="left" vertical="center" wrapText="1"/>
    </xf>
    <xf numFmtId="0" fontId="0" fillId="2" borderId="35" xfId="0" applyFill="1" applyBorder="1" applyAlignment="1">
      <alignment horizontal="left" vertical="center" wrapText="1"/>
    </xf>
    <xf numFmtId="0" fontId="0" fillId="2" borderId="37" xfId="0" applyFill="1" applyBorder="1" applyAlignment="1">
      <alignment horizontal="left" vertical="center" wrapText="1"/>
    </xf>
    <xf numFmtId="0" fontId="7" fillId="2" borderId="39" xfId="0" applyFont="1" applyFill="1" applyBorder="1" applyAlignment="1">
      <alignment horizontal="left" vertical="center" wrapText="1"/>
    </xf>
    <xf numFmtId="0" fontId="23" fillId="0" borderId="29" xfId="0" applyFont="1" applyBorder="1" applyAlignment="1">
      <alignment horizontal="left" vertical="center" wrapText="1"/>
    </xf>
    <xf numFmtId="0" fontId="23" fillId="0" borderId="28" xfId="0" applyFont="1" applyBorder="1" applyAlignment="1">
      <alignment horizontal="left" vertical="center" wrapText="1"/>
    </xf>
    <xf numFmtId="0" fontId="7" fillId="2" borderId="28" xfId="0" applyFont="1" applyFill="1" applyBorder="1" applyAlignment="1">
      <alignment horizontal="left" vertical="center" wrapText="1"/>
    </xf>
    <xf numFmtId="0" fontId="23" fillId="0" borderId="33" xfId="0" applyFont="1" applyBorder="1" applyAlignment="1">
      <alignment horizontal="left" vertical="center" wrapText="1"/>
    </xf>
    <xf numFmtId="0" fontId="7" fillId="2" borderId="26" xfId="0" applyFont="1" applyFill="1" applyBorder="1" applyAlignment="1">
      <alignment horizontal="left" vertical="top" wrapText="1"/>
    </xf>
    <xf numFmtId="0" fontId="23" fillId="0" borderId="40" xfId="0" applyFont="1" applyBorder="1" applyAlignment="1">
      <alignment horizontal="left" vertical="top" wrapText="1"/>
    </xf>
    <xf numFmtId="0" fontId="0" fillId="2" borderId="31" xfId="0" applyFill="1" applyBorder="1" applyAlignment="1">
      <alignment horizontal="left" vertical="top" wrapText="1"/>
    </xf>
    <xf numFmtId="0" fontId="7" fillId="2" borderId="0" xfId="0" applyFont="1" applyFill="1" applyAlignment="1">
      <alignment horizontal="left" vertical="top" wrapText="1"/>
    </xf>
    <xf numFmtId="0" fontId="23" fillId="0" borderId="26" xfId="0" applyFont="1" applyBorder="1" applyAlignment="1">
      <alignment horizontal="left" vertical="top" wrapText="1"/>
    </xf>
    <xf numFmtId="0" fontId="0" fillId="0" borderId="27" xfId="0" applyBorder="1" applyAlignment="1">
      <alignment horizontal="left" vertical="top" wrapText="1"/>
    </xf>
    <xf numFmtId="0" fontId="0" fillId="2" borderId="32" xfId="0" applyFill="1" applyBorder="1" applyAlignment="1">
      <alignment horizontal="left" vertical="top" wrapText="1"/>
    </xf>
    <xf numFmtId="0" fontId="3" fillId="10" borderId="1" xfId="2" applyFill="1" applyBorder="1" applyAlignment="1">
      <alignment vertical="center"/>
    </xf>
    <xf numFmtId="0" fontId="36" fillId="0" borderId="0" xfId="0" applyFont="1"/>
    <xf numFmtId="0" fontId="3" fillId="2" borderId="0" xfId="1" applyFill="1" applyBorder="1" applyAlignment="1">
      <alignment horizontal="left" vertical="center"/>
    </xf>
    <xf numFmtId="0" fontId="0" fillId="20" borderId="32" xfId="0" applyFill="1" applyBorder="1" applyAlignment="1">
      <alignment horizontal="center"/>
    </xf>
    <xf numFmtId="0" fontId="0" fillId="20" borderId="37" xfId="0" applyFill="1" applyBorder="1" applyAlignment="1">
      <alignment horizontal="center"/>
    </xf>
    <xf numFmtId="0" fontId="0" fillId="20" borderId="32" xfId="0" applyFill="1" applyBorder="1" applyAlignment="1">
      <alignment horizontal="center" wrapText="1"/>
    </xf>
    <xf numFmtId="0" fontId="0" fillId="20" borderId="33" xfId="0" applyFill="1" applyBorder="1" applyAlignment="1">
      <alignment horizontal="center" wrapText="1"/>
    </xf>
    <xf numFmtId="0" fontId="7" fillId="9" borderId="1" xfId="0" applyFont="1" applyFill="1" applyBorder="1" applyAlignment="1">
      <alignment horizontal="left" vertical="center"/>
    </xf>
    <xf numFmtId="0" fontId="7" fillId="9" borderId="1" xfId="0" applyFont="1" applyFill="1" applyBorder="1" applyAlignment="1">
      <alignment horizontal="left" vertical="center" wrapText="1"/>
    </xf>
    <xf numFmtId="0" fontId="7" fillId="9" borderId="13" xfId="0" applyFont="1" applyFill="1" applyBorder="1" applyAlignment="1">
      <alignment horizontal="left" vertical="center" wrapText="1"/>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30" fillId="2" borderId="29" xfId="0" applyFont="1" applyFill="1" applyBorder="1" applyAlignment="1">
      <alignment horizontal="center" vertical="center" wrapText="1"/>
    </xf>
    <xf numFmtId="0" fontId="30" fillId="2" borderId="31" xfId="0" applyFont="1" applyFill="1" applyBorder="1" applyAlignment="1">
      <alignment horizontal="center" vertical="center" wrapText="1"/>
    </xf>
    <xf numFmtId="0" fontId="30" fillId="2" borderId="26" xfId="0" applyFont="1" applyFill="1" applyBorder="1" applyAlignment="1">
      <alignment horizontal="center" vertical="center" wrapText="1"/>
    </xf>
    <xf numFmtId="0" fontId="30" fillId="2" borderId="27" xfId="0" applyFont="1" applyFill="1" applyBorder="1" applyAlignment="1">
      <alignment horizontal="center" vertical="center" wrapText="1"/>
    </xf>
    <xf numFmtId="0" fontId="30" fillId="2" borderId="31" xfId="0" applyFont="1" applyFill="1" applyBorder="1" applyAlignment="1">
      <alignment horizontal="center" vertical="center"/>
    </xf>
    <xf numFmtId="0" fontId="30" fillId="2" borderId="30" xfId="0" applyFont="1" applyFill="1" applyBorder="1" applyAlignment="1">
      <alignment horizontal="center" vertical="center"/>
    </xf>
    <xf numFmtId="0" fontId="30" fillId="2" borderId="32" xfId="0" applyFont="1" applyFill="1" applyBorder="1" applyAlignment="1">
      <alignment horizontal="center" vertical="center" wrapText="1"/>
    </xf>
    <xf numFmtId="0" fontId="30" fillId="2" borderId="38" xfId="0" applyFont="1" applyFill="1" applyBorder="1" applyAlignment="1">
      <alignment horizontal="center" vertical="center" wrapText="1"/>
    </xf>
    <xf numFmtId="0" fontId="30" fillId="2" borderId="30" xfId="0" applyFont="1" applyFill="1" applyBorder="1" applyAlignment="1">
      <alignment horizontal="center" vertical="center" wrapText="1"/>
    </xf>
    <xf numFmtId="0" fontId="30" fillId="0" borderId="29" xfId="0" applyFont="1" applyBorder="1" applyAlignment="1">
      <alignment horizontal="center" vertical="center" wrapText="1"/>
    </xf>
    <xf numFmtId="0" fontId="30" fillId="0" borderId="31" xfId="0" applyFont="1" applyBorder="1" applyAlignment="1">
      <alignment horizontal="center" vertical="center" wrapText="1"/>
    </xf>
    <xf numFmtId="0" fontId="29" fillId="2" borderId="29" xfId="0" applyFont="1" applyFill="1" applyBorder="1" applyAlignment="1">
      <alignment horizontal="center" vertical="center" wrapText="1"/>
    </xf>
    <xf numFmtId="0" fontId="29" fillId="2" borderId="31" xfId="0" applyFont="1" applyFill="1" applyBorder="1" applyAlignment="1">
      <alignment horizontal="center" vertical="center" wrapText="1"/>
    </xf>
    <xf numFmtId="0" fontId="30" fillId="2" borderId="29" xfId="0" applyFont="1" applyFill="1" applyBorder="1" applyAlignment="1">
      <alignment horizontal="center" vertical="center" wrapText="1" indent="1"/>
    </xf>
    <xf numFmtId="0" fontId="30" fillId="2" borderId="31" xfId="0" applyFont="1" applyFill="1" applyBorder="1" applyAlignment="1">
      <alignment horizontal="center" vertical="center" wrapText="1" indent="1"/>
    </xf>
    <xf numFmtId="0" fontId="0" fillId="20" borderId="32" xfId="0" applyFill="1" applyBorder="1" applyAlignment="1">
      <alignment horizontal="center" vertical="center"/>
    </xf>
    <xf numFmtId="0" fontId="0" fillId="20" borderId="37" xfId="0" applyFill="1" applyBorder="1" applyAlignment="1">
      <alignment horizontal="center" vertical="center"/>
    </xf>
    <xf numFmtId="0" fontId="0" fillId="20" borderId="32" xfId="0" applyFill="1" applyBorder="1" applyAlignment="1">
      <alignment horizontal="center" vertical="center" wrapText="1"/>
    </xf>
    <xf numFmtId="0" fontId="0" fillId="20" borderId="33" xfId="0" applyFill="1" applyBorder="1" applyAlignment="1">
      <alignment horizontal="center" vertical="center" wrapText="1"/>
    </xf>
    <xf numFmtId="0" fontId="7" fillId="11" borderId="5" xfId="0" applyFont="1" applyFill="1" applyBorder="1" applyAlignment="1">
      <alignment horizontal="left" vertical="center" wrapText="1"/>
    </xf>
    <xf numFmtId="0" fontId="7" fillId="11" borderId="7"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7" fillId="11" borderId="8" xfId="0" applyFont="1" applyFill="1" applyBorder="1" applyAlignment="1">
      <alignment horizontal="left" vertical="center" wrapText="1"/>
    </xf>
    <xf numFmtId="0" fontId="3" fillId="11" borderId="12" xfId="1" applyFill="1" applyBorder="1" applyAlignment="1">
      <alignment horizontal="left" vertical="center"/>
    </xf>
    <xf numFmtId="0" fontId="3" fillId="11" borderId="24" xfId="1" applyFill="1" applyBorder="1" applyAlignment="1">
      <alignment horizontal="left" vertical="center"/>
    </xf>
    <xf numFmtId="0" fontId="7" fillId="2" borderId="29" xfId="0" applyFont="1" applyFill="1" applyBorder="1" applyAlignment="1">
      <alignment horizontal="center"/>
    </xf>
    <xf numFmtId="0" fontId="7" fillId="2" borderId="31" xfId="0" applyFont="1" applyFill="1" applyBorder="1" applyAlignment="1">
      <alignment horizontal="center"/>
    </xf>
    <xf numFmtId="0" fontId="7" fillId="2" borderId="30" xfId="0" applyFont="1" applyFill="1" applyBorder="1" applyAlignment="1">
      <alignment horizontal="center"/>
    </xf>
    <xf numFmtId="0" fontId="7" fillId="2" borderId="29" xfId="0" applyFont="1" applyFill="1" applyBorder="1" applyAlignment="1">
      <alignment horizontal="center" vertical="center" wrapText="1"/>
    </xf>
    <xf numFmtId="0" fontId="7" fillId="2" borderId="38" xfId="0" applyFont="1" applyFill="1" applyBorder="1" applyAlignment="1">
      <alignment horizontal="center" vertical="center" wrapText="1"/>
    </xf>
    <xf numFmtId="0" fontId="7" fillId="2" borderId="35" xfId="0" applyFont="1" applyFill="1" applyBorder="1" applyAlignment="1">
      <alignment horizontal="center" vertical="center" wrapText="1"/>
    </xf>
    <xf numFmtId="0" fontId="7" fillId="20" borderId="32" xfId="0" applyFont="1" applyFill="1" applyBorder="1" applyAlignment="1">
      <alignment horizontal="center"/>
    </xf>
    <xf numFmtId="0" fontId="7" fillId="20" borderId="37" xfId="0" applyFont="1" applyFill="1" applyBorder="1" applyAlignment="1">
      <alignment horizontal="center"/>
    </xf>
    <xf numFmtId="0" fontId="7" fillId="20" borderId="32" xfId="0" applyFont="1" applyFill="1" applyBorder="1" applyAlignment="1">
      <alignment horizontal="center" wrapText="1"/>
    </xf>
    <xf numFmtId="0" fontId="7" fillId="20" borderId="33" xfId="0" applyFont="1" applyFill="1" applyBorder="1" applyAlignment="1">
      <alignment horizontal="center" wrapText="1"/>
    </xf>
    <xf numFmtId="0" fontId="7" fillId="2" borderId="31" xfId="0" applyFont="1" applyFill="1" applyBorder="1" applyAlignment="1">
      <alignment horizontal="center" vertical="center" wrapText="1"/>
    </xf>
    <xf numFmtId="0" fontId="7" fillId="2" borderId="30" xfId="0" applyFont="1" applyFill="1" applyBorder="1" applyAlignment="1">
      <alignment horizontal="center" vertical="center" wrapText="1"/>
    </xf>
    <xf numFmtId="0" fontId="7" fillId="2" borderId="29" xfId="0" applyFont="1" applyFill="1" applyBorder="1" applyAlignment="1">
      <alignment horizontal="center" vertical="center"/>
    </xf>
    <xf numFmtId="0" fontId="7" fillId="2" borderId="31" xfId="0" applyFont="1" applyFill="1" applyBorder="1" applyAlignment="1">
      <alignment horizontal="center" vertical="center"/>
    </xf>
    <xf numFmtId="0" fontId="7" fillId="2" borderId="30" xfId="0" applyFont="1" applyFill="1" applyBorder="1" applyAlignment="1">
      <alignment horizontal="center" vertical="center"/>
    </xf>
    <xf numFmtId="0" fontId="0" fillId="2" borderId="29" xfId="0" applyFill="1" applyBorder="1" applyAlignment="1">
      <alignment horizontal="center" vertical="center" wrapText="1"/>
    </xf>
    <xf numFmtId="0" fontId="0" fillId="2" borderId="30" xfId="0" applyFill="1" applyBorder="1" applyAlignment="1">
      <alignment horizontal="center" vertical="center" wrapText="1"/>
    </xf>
    <xf numFmtId="0" fontId="0" fillId="2" borderId="29" xfId="0" applyFill="1" applyBorder="1" applyAlignment="1">
      <alignment horizontal="center" vertical="center"/>
    </xf>
    <xf numFmtId="0" fontId="0" fillId="2" borderId="30" xfId="0" applyFill="1" applyBorder="1" applyAlignment="1">
      <alignment horizontal="center" vertical="center"/>
    </xf>
    <xf numFmtId="0" fontId="7" fillId="11" borderId="5" xfId="0" applyFont="1" applyFill="1" applyBorder="1" applyAlignment="1">
      <alignment horizontal="left" vertical="center"/>
    </xf>
    <xf numFmtId="0" fontId="3" fillId="11" borderId="21" xfId="1" applyNumberFormat="1" applyFill="1" applyBorder="1" applyAlignment="1">
      <alignment horizontal="center" vertical="center"/>
    </xf>
    <xf numFmtId="0" fontId="3" fillId="11" borderId="25" xfId="1" applyNumberFormat="1" applyFill="1" applyBorder="1" applyAlignment="1">
      <alignment horizontal="center" vertical="center"/>
    </xf>
    <xf numFmtId="0" fontId="0" fillId="2" borderId="31" xfId="0" applyFill="1" applyBorder="1" applyAlignment="1">
      <alignment horizontal="center" vertical="center" wrapText="1"/>
    </xf>
    <xf numFmtId="0" fontId="0" fillId="2" borderId="37" xfId="0" applyFill="1" applyBorder="1" applyAlignment="1">
      <alignment horizontal="center" vertical="center" wrapText="1"/>
    </xf>
    <xf numFmtId="0" fontId="0" fillId="2" borderId="56" xfId="0" applyFill="1" applyBorder="1" applyAlignment="1">
      <alignment horizontal="center" vertical="center" wrapText="1"/>
    </xf>
    <xf numFmtId="0" fontId="0" fillId="2" borderId="29" xfId="0" applyFill="1" applyBorder="1" applyAlignment="1">
      <alignment horizontal="center"/>
    </xf>
    <xf numFmtId="0" fontId="0" fillId="2" borderId="30" xfId="0" applyFill="1" applyBorder="1" applyAlignment="1">
      <alignment horizontal="center"/>
    </xf>
    <xf numFmtId="0" fontId="0" fillId="2" borderId="35" xfId="0" applyFill="1" applyBorder="1" applyAlignment="1">
      <alignment horizontal="center" vertical="center" wrapText="1"/>
    </xf>
    <xf numFmtId="0" fontId="0" fillId="2" borderId="33" xfId="0" applyFill="1" applyBorder="1" applyAlignment="1">
      <alignment horizontal="left" vertical="center"/>
    </xf>
    <xf numFmtId="0" fontId="0" fillId="2" borderId="39" xfId="0" applyFill="1" applyBorder="1" applyAlignment="1">
      <alignment horizontal="left" vertical="center"/>
    </xf>
    <xf numFmtId="0" fontId="0" fillId="0" borderId="32" xfId="0" applyBorder="1" applyAlignment="1">
      <alignment vertical="center" wrapText="1"/>
    </xf>
    <xf numFmtId="0" fontId="0" fillId="0" borderId="38" xfId="0" applyBorder="1" applyAlignment="1">
      <alignment vertical="center" wrapText="1"/>
    </xf>
    <xf numFmtId="0" fontId="0" fillId="0" borderId="35" xfId="0" applyBorder="1" applyAlignment="1">
      <alignment vertical="center" wrapText="1"/>
    </xf>
    <xf numFmtId="0" fontId="7" fillId="11" borderId="13" xfId="0" applyFont="1" applyFill="1" applyBorder="1" applyAlignment="1">
      <alignment vertical="center" wrapText="1"/>
    </xf>
    <xf numFmtId="0" fontId="7" fillId="11" borderId="20" xfId="0" applyFont="1" applyFill="1" applyBorder="1" applyAlignment="1">
      <alignment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1" fillId="20" borderId="32" xfId="0" applyFont="1" applyFill="1" applyBorder="1" applyAlignment="1">
      <alignment horizontal="center"/>
    </xf>
    <xf numFmtId="0" fontId="1" fillId="20" borderId="37" xfId="0" applyFont="1" applyFill="1" applyBorder="1" applyAlignment="1">
      <alignment horizontal="center"/>
    </xf>
    <xf numFmtId="0" fontId="1" fillId="20" borderId="32" xfId="0" applyFont="1" applyFill="1" applyBorder="1" applyAlignment="1">
      <alignment horizontal="center" wrapText="1"/>
    </xf>
    <xf numFmtId="0" fontId="1" fillId="20" borderId="33" xfId="0" applyFont="1" applyFill="1" applyBorder="1" applyAlignment="1">
      <alignment horizontal="center" wrapText="1"/>
    </xf>
    <xf numFmtId="0" fontId="17" fillId="2" borderId="33" xfId="0" applyFont="1" applyFill="1" applyBorder="1" applyAlignment="1">
      <alignment horizontal="center" vertical="center" wrapText="1"/>
    </xf>
    <xf numFmtId="0" fontId="17" fillId="2" borderId="34"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7" fillId="2" borderId="26" xfId="0" applyFont="1" applyFill="1" applyBorder="1" applyAlignment="1">
      <alignment horizontal="center" vertical="center"/>
    </xf>
    <xf numFmtId="0" fontId="17" fillId="2" borderId="26"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1" fillId="20" borderId="32" xfId="0" applyFont="1" applyFill="1" applyBorder="1" applyAlignment="1">
      <alignment horizontal="center" vertical="center"/>
    </xf>
    <xf numFmtId="0" fontId="1" fillId="20" borderId="37" xfId="0" applyFont="1" applyFill="1" applyBorder="1" applyAlignment="1">
      <alignment horizontal="center" vertical="center"/>
    </xf>
    <xf numFmtId="0" fontId="1" fillId="20" borderId="32" xfId="0" applyFont="1" applyFill="1" applyBorder="1" applyAlignment="1">
      <alignment horizontal="center" vertical="center" wrapText="1"/>
    </xf>
    <xf numFmtId="0" fontId="1" fillId="20" borderId="33" xfId="0" applyFont="1" applyFill="1" applyBorder="1" applyAlignment="1">
      <alignment horizontal="center" vertical="center" wrapText="1"/>
    </xf>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9275</xdr:colOff>
      <xdr:row>1</xdr:row>
      <xdr:rowOff>25972</xdr:rowOff>
    </xdr:from>
    <xdr:to>
      <xdr:col>35</xdr:col>
      <xdr:colOff>558301</xdr:colOff>
      <xdr:row>79</xdr:row>
      <xdr:rowOff>135741</xdr:rowOff>
    </xdr:to>
    <xdr:pic>
      <xdr:nvPicPr>
        <xdr:cNvPr id="5" name="Imagen 1">
          <a:extLst>
            <a:ext uri="{FF2B5EF4-FFF2-40B4-BE49-F238E27FC236}">
              <a16:creationId xmlns:a16="http://schemas.microsoft.com/office/drawing/2014/main" id="{813945CC-A5A0-574E-3D03-0722A8687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99975" y="206947"/>
          <a:ext cx="28009601" cy="14225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jose.londono@latam.com"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1CCA4-5D98-476C-AC2D-E851B4DAEDE3}">
  <sheetPr codeName="Hoja1"/>
  <dimension ref="A1:F32"/>
  <sheetViews>
    <sheetView workbookViewId="0">
      <selection activeCell="E14" sqref="E14"/>
    </sheetView>
  </sheetViews>
  <sheetFormatPr defaultColWidth="11.42578125" defaultRowHeight="14.45"/>
  <cols>
    <col min="2" max="2" width="14.5703125" bestFit="1" customWidth="1"/>
    <col min="5" max="5" width="26.85546875" bestFit="1" customWidth="1"/>
  </cols>
  <sheetData>
    <row r="1" spans="1:6">
      <c r="A1" t="s">
        <v>0</v>
      </c>
      <c r="B1" t="s">
        <v>1</v>
      </c>
      <c r="C1" t="s">
        <v>2</v>
      </c>
      <c r="D1" t="s">
        <v>3</v>
      </c>
      <c r="E1" t="s">
        <v>4</v>
      </c>
      <c r="F1" t="s">
        <v>5</v>
      </c>
    </row>
    <row r="2" spans="1:6">
      <c r="A2" t="s">
        <v>6</v>
      </c>
      <c r="B2" t="s">
        <v>7</v>
      </c>
      <c r="C2" t="s">
        <v>8</v>
      </c>
      <c r="D2" t="s">
        <v>9</v>
      </c>
      <c r="E2" t="s">
        <v>10</v>
      </c>
      <c r="F2" t="s">
        <v>11</v>
      </c>
    </row>
    <row r="3" spans="1:6">
      <c r="A3" t="s">
        <v>12</v>
      </c>
      <c r="C3" t="s">
        <v>13</v>
      </c>
      <c r="D3" t="s">
        <v>14</v>
      </c>
      <c r="E3" t="s">
        <v>15</v>
      </c>
      <c r="F3" t="s">
        <v>16</v>
      </c>
    </row>
    <row r="4" spans="1:6">
      <c r="E4" t="s">
        <v>17</v>
      </c>
      <c r="F4" t="s">
        <v>18</v>
      </c>
    </row>
    <row r="5" spans="1:6">
      <c r="E5" t="s">
        <v>19</v>
      </c>
    </row>
    <row r="6" spans="1:6">
      <c r="E6" t="s">
        <v>20</v>
      </c>
    </row>
    <row r="7" spans="1:6">
      <c r="E7" t="s">
        <v>21</v>
      </c>
    </row>
    <row r="8" spans="1:6">
      <c r="E8" t="s">
        <v>22</v>
      </c>
    </row>
    <row r="9" spans="1:6">
      <c r="E9" t="s">
        <v>23</v>
      </c>
    </row>
    <row r="10" spans="1:6">
      <c r="E10" s="57" t="s">
        <v>24</v>
      </c>
    </row>
    <row r="11" spans="1:6">
      <c r="E11" s="57" t="s">
        <v>25</v>
      </c>
    </row>
    <row r="12" spans="1:6">
      <c r="E12" s="57" t="s">
        <v>26</v>
      </c>
    </row>
    <row r="13" spans="1:6">
      <c r="E13" s="57" t="s">
        <v>27</v>
      </c>
    </row>
    <row r="14" spans="1:6">
      <c r="E14" s="57" t="s">
        <v>28</v>
      </c>
    </row>
    <row r="15" spans="1:6">
      <c r="E15" s="57" t="s">
        <v>29</v>
      </c>
    </row>
    <row r="16" spans="1:6">
      <c r="E16" s="57" t="s">
        <v>30</v>
      </c>
    </row>
    <row r="17" spans="5:5">
      <c r="E17" s="57" t="s">
        <v>31</v>
      </c>
    </row>
    <row r="18" spans="5:5">
      <c r="E18" s="57" t="s">
        <v>32</v>
      </c>
    </row>
    <row r="19" spans="5:5">
      <c r="E19" s="57" t="s">
        <v>33</v>
      </c>
    </row>
    <row r="20" spans="5:5">
      <c r="E20" s="57" t="s">
        <v>34</v>
      </c>
    </row>
    <row r="21" spans="5:5">
      <c r="E21" s="57" t="s">
        <v>35</v>
      </c>
    </row>
    <row r="22" spans="5:5">
      <c r="E22" s="57" t="s">
        <v>36</v>
      </c>
    </row>
    <row r="23" spans="5:5">
      <c r="E23" s="57" t="s">
        <v>37</v>
      </c>
    </row>
    <row r="24" spans="5:5">
      <c r="E24" s="57" t="s">
        <v>0</v>
      </c>
    </row>
    <row r="25" spans="5:5">
      <c r="E25" s="57" t="s">
        <v>38</v>
      </c>
    </row>
    <row r="26" spans="5:5">
      <c r="E26" s="57" t="s">
        <v>39</v>
      </c>
    </row>
    <row r="27" spans="5:5">
      <c r="E27" s="57" t="s">
        <v>40</v>
      </c>
    </row>
    <row r="28" spans="5:5">
      <c r="E28" s="57" t="s">
        <v>41</v>
      </c>
    </row>
    <row r="29" spans="5:5">
      <c r="E29" s="57" t="s">
        <v>42</v>
      </c>
    </row>
    <row r="30" spans="5:5">
      <c r="E30" s="57" t="s">
        <v>43</v>
      </c>
    </row>
    <row r="31" spans="5:5">
      <c r="E31" s="57" t="s">
        <v>44</v>
      </c>
    </row>
    <row r="32" spans="5:5">
      <c r="E32" s="57"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F5ED0-FF53-4F52-95F6-16E23A1EEBF8}">
  <sheetPr codeName="Hoja2"/>
  <dimension ref="A1:Q69"/>
  <sheetViews>
    <sheetView zoomScale="89" zoomScaleNormal="89" workbookViewId="0">
      <pane ySplit="1" topLeftCell="A2" activePane="bottomLeft" state="frozen"/>
      <selection pane="bottomLeft" activeCell="A11" sqref="A11:A12"/>
    </sheetView>
  </sheetViews>
  <sheetFormatPr defaultColWidth="10.85546875" defaultRowHeight="14.45"/>
  <cols>
    <col min="1" max="1" width="26.85546875" style="28" bestFit="1" customWidth="1"/>
    <col min="2" max="2" width="11.85546875" style="28" bestFit="1" customWidth="1"/>
    <col min="3" max="3" width="14.42578125" style="28" bestFit="1" customWidth="1"/>
    <col min="4" max="4" width="49" style="28" customWidth="1"/>
    <col min="5" max="16384" width="10.85546875" style="28"/>
  </cols>
  <sheetData>
    <row r="1" spans="1:4" customFormat="1">
      <c r="B1" s="69"/>
    </row>
    <row r="2" spans="1:4" s="27" customFormat="1">
      <c r="A2"/>
      <c r="B2" s="55"/>
      <c r="C2" s="55"/>
      <c r="D2" s="56"/>
    </row>
    <row r="3" spans="1:4">
      <c r="A3" s="1"/>
      <c r="B3" s="55"/>
      <c r="C3" s="55"/>
      <c r="D3" s="56"/>
    </row>
    <row r="4" spans="1:4">
      <c r="A4" s="725"/>
      <c r="B4" s="55"/>
      <c r="C4" s="55"/>
      <c r="D4" s="56"/>
    </row>
    <row r="5" spans="1:4">
      <c r="A5" s="725"/>
      <c r="B5" s="55"/>
      <c r="C5" s="55"/>
      <c r="D5" s="56"/>
    </row>
    <row r="6" spans="1:4">
      <c r="A6" s="1"/>
      <c r="B6" s="55"/>
      <c r="C6" s="55"/>
      <c r="D6" s="56"/>
    </row>
    <row r="7" spans="1:4">
      <c r="A7" s="1"/>
      <c r="B7" s="55"/>
      <c r="C7" s="55"/>
      <c r="D7" s="56"/>
    </row>
    <row r="8" spans="1:4">
      <c r="A8" s="1"/>
      <c r="B8" s="55"/>
      <c r="C8" s="55"/>
      <c r="D8" s="56"/>
    </row>
    <row r="9" spans="1:4">
      <c r="A9" s="1"/>
      <c r="B9" s="55"/>
      <c r="C9"/>
      <c r="D9" s="56"/>
    </row>
    <row r="10" spans="1:4">
      <c r="A10" s="1"/>
      <c r="B10" s="55"/>
      <c r="C10" s="55"/>
      <c r="D10" s="56"/>
    </row>
    <row r="11" spans="1:4">
      <c r="A11" s="725"/>
      <c r="B11" s="55"/>
      <c r="C11" s="55"/>
      <c r="D11" s="56"/>
    </row>
    <row r="12" spans="1:4">
      <c r="A12" s="725"/>
      <c r="B12" s="55"/>
      <c r="C12" s="55"/>
      <c r="D12" s="56"/>
    </row>
    <row r="13" spans="1:4">
      <c r="A13" s="1"/>
      <c r="B13" s="55"/>
      <c r="C13" s="55"/>
      <c r="D13" s="56"/>
    </row>
    <row r="14" spans="1:4">
      <c r="A14" s="1"/>
      <c r="B14" s="55"/>
      <c r="C14" s="55"/>
      <c r="D14" s="56"/>
    </row>
    <row r="15" spans="1:4">
      <c r="A15" s="1"/>
      <c r="B15" s="55"/>
      <c r="C15" s="55"/>
      <c r="D15" s="56"/>
    </row>
    <row r="16" spans="1:4">
      <c r="A16" s="1"/>
      <c r="B16" s="55"/>
      <c r="C16" s="55"/>
      <c r="D16" s="56"/>
    </row>
    <row r="19" spans="2:16">
      <c r="P19"/>
    </row>
    <row r="23" spans="2:16">
      <c r="B23"/>
    </row>
    <row r="37" spans="17:17">
      <c r="Q37"/>
    </row>
    <row r="57" spans="4:4">
      <c r="D57"/>
    </row>
    <row r="69" spans="4:4">
      <c r="D69"/>
    </row>
  </sheetData>
  <mergeCells count="2">
    <mergeCell ref="A4:A5"/>
    <mergeCell ref="A11:A12"/>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B5567F9-3735-4C2D-9411-0897051FBF5B}">
          <x14:formula1>
            <xm:f>Valores!$B$2:$B$3</xm:f>
          </x14:formula1>
          <xm:sqref>C2:C8 C10:C16</xm:sqref>
        </x14:dataValidation>
        <x14:dataValidation type="list" allowBlank="1" showInputMessage="1" showErrorMessage="1" xr:uid="{1A31A245-F1A9-431E-BF02-70A4BE6275B6}">
          <x14:formula1>
            <xm:f>Valores!$A$2:$A$3</xm:f>
          </x14:formula1>
          <xm:sqref>B2:B16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F1900-2D56-406D-8FE4-4C23EC1C8839}">
  <sheetPr codeName="Hoja3"/>
  <dimension ref="A1:F23"/>
  <sheetViews>
    <sheetView workbookViewId="0">
      <pane ySplit="2" topLeftCell="A3" activePane="bottomLeft" state="frozen"/>
      <selection pane="bottomLeft" activeCell="C29" sqref="C29"/>
    </sheetView>
  </sheetViews>
  <sheetFormatPr defaultColWidth="10.85546875" defaultRowHeight="14.45"/>
  <cols>
    <col min="1" max="1" width="26.85546875" style="57" bestFit="1" customWidth="1"/>
    <col min="2" max="2" width="11.85546875" style="2" bestFit="1" customWidth="1"/>
    <col min="3" max="3" width="14.42578125" style="2" bestFit="1" customWidth="1"/>
    <col min="4" max="4" width="70.85546875" style="2" customWidth="1"/>
    <col min="5" max="5" width="14.42578125" style="2" bestFit="1" customWidth="1"/>
    <col min="6" max="6" width="13.5703125" style="2" bestFit="1" customWidth="1"/>
    <col min="7" max="16384" width="10.85546875" style="2"/>
  </cols>
  <sheetData>
    <row r="1" spans="1:6" ht="15" thickBot="1">
      <c r="A1" s="58" t="s">
        <v>46</v>
      </c>
    </row>
    <row r="2" spans="1:6" s="18" customFormat="1">
      <c r="A2" s="76" t="s">
        <v>47</v>
      </c>
      <c r="B2" s="77" t="s">
        <v>0</v>
      </c>
      <c r="C2" s="77" t="s">
        <v>48</v>
      </c>
      <c r="D2" s="77" t="s">
        <v>49</v>
      </c>
      <c r="E2" s="77" t="s">
        <v>50</v>
      </c>
      <c r="F2" s="78" t="s">
        <v>51</v>
      </c>
    </row>
    <row r="3" spans="1:6" s="18" customFormat="1" ht="45.75">
      <c r="A3" s="80" t="s">
        <v>35</v>
      </c>
      <c r="B3" s="53" t="s">
        <v>12</v>
      </c>
      <c r="C3" s="53" t="s">
        <v>7</v>
      </c>
      <c r="D3" s="79" t="s">
        <v>52</v>
      </c>
      <c r="E3" s="314" t="s">
        <v>53</v>
      </c>
      <c r="F3" s="315" t="s">
        <v>53</v>
      </c>
    </row>
    <row r="4" spans="1:6" ht="30.75">
      <c r="A4" s="80" t="s">
        <v>28</v>
      </c>
      <c r="B4" s="53" t="s">
        <v>6</v>
      </c>
      <c r="C4" s="53"/>
      <c r="D4" s="310" t="s">
        <v>54</v>
      </c>
      <c r="E4" s="308" t="s">
        <v>53</v>
      </c>
      <c r="F4" s="308" t="s">
        <v>53</v>
      </c>
    </row>
    <row r="5" spans="1:6" ht="29.1" customHeight="1">
      <c r="A5" s="53" t="s">
        <v>45</v>
      </c>
      <c r="B5" s="123" t="s">
        <v>6</v>
      </c>
      <c r="C5" s="123"/>
      <c r="D5" s="310" t="s">
        <v>55</v>
      </c>
      <c r="E5" s="308" t="s">
        <v>53</v>
      </c>
      <c r="F5" s="308" t="s">
        <v>53</v>
      </c>
    </row>
    <row r="6" spans="1:6" ht="45.75">
      <c r="A6" s="80" t="s">
        <v>26</v>
      </c>
      <c r="B6" s="122" t="s">
        <v>6</v>
      </c>
      <c r="C6" s="122"/>
      <c r="D6" s="311" t="s">
        <v>56</v>
      </c>
      <c r="E6" s="309" t="s">
        <v>53</v>
      </c>
      <c r="F6" s="309" t="s">
        <v>53</v>
      </c>
    </row>
    <row r="7" spans="1:6" ht="42.95" customHeight="1">
      <c r="A7" s="80" t="s">
        <v>25</v>
      </c>
      <c r="B7" s="53" t="s">
        <v>6</v>
      </c>
      <c r="C7" s="53"/>
      <c r="D7" s="310" t="s">
        <v>57</v>
      </c>
      <c r="E7" s="308" t="s">
        <v>53</v>
      </c>
      <c r="F7" s="309" t="s">
        <v>53</v>
      </c>
    </row>
    <row r="8" spans="1:6" ht="45.75">
      <c r="A8" s="80" t="s">
        <v>44</v>
      </c>
      <c r="B8" s="122" t="s">
        <v>6</v>
      </c>
      <c r="C8" s="122"/>
      <c r="D8" s="310" t="s">
        <v>58</v>
      </c>
      <c r="E8" s="308" t="s">
        <v>53</v>
      </c>
      <c r="F8" s="309" t="s">
        <v>53</v>
      </c>
    </row>
    <row r="9" spans="1:6" ht="24" customHeight="1">
      <c r="A9" s="80" t="s">
        <v>39</v>
      </c>
      <c r="B9" s="53" t="s">
        <v>12</v>
      </c>
      <c r="C9" s="53" t="s">
        <v>7</v>
      </c>
      <c r="D9" s="310" t="s">
        <v>59</v>
      </c>
      <c r="E9" s="308" t="s">
        <v>53</v>
      </c>
      <c r="F9" s="308" t="s">
        <v>53</v>
      </c>
    </row>
    <row r="10" spans="1:6" ht="30.75">
      <c r="A10" s="80" t="s">
        <v>60</v>
      </c>
      <c r="B10" s="53" t="s">
        <v>6</v>
      </c>
      <c r="C10" s="53"/>
      <c r="D10" s="310" t="s">
        <v>61</v>
      </c>
      <c r="E10" s="308" t="s">
        <v>53</v>
      </c>
      <c r="F10" s="308" t="s">
        <v>53</v>
      </c>
    </row>
    <row r="11" spans="1:6" ht="15">
      <c r="A11" s="80" t="s">
        <v>36</v>
      </c>
      <c r="B11" s="53" t="s">
        <v>12</v>
      </c>
      <c r="C11" s="53" t="s">
        <v>7</v>
      </c>
      <c r="D11" s="312" t="s">
        <v>62</v>
      </c>
      <c r="E11" s="308" t="s">
        <v>53</v>
      </c>
      <c r="F11" s="308" t="s">
        <v>53</v>
      </c>
    </row>
    <row r="12" spans="1:6" ht="15">
      <c r="A12" s="80" t="s">
        <v>42</v>
      </c>
      <c r="B12" s="53" t="s">
        <v>6</v>
      </c>
      <c r="C12" s="53"/>
      <c r="D12" s="310" t="s">
        <v>63</v>
      </c>
      <c r="E12" s="308" t="s">
        <v>53</v>
      </c>
      <c r="F12" s="308" t="s">
        <v>53</v>
      </c>
    </row>
    <row r="13" spans="1:6" ht="15">
      <c r="A13" s="80" t="s">
        <v>38</v>
      </c>
      <c r="B13" s="53" t="s">
        <v>6</v>
      </c>
      <c r="C13" s="53"/>
      <c r="D13" s="310" t="s">
        <v>64</v>
      </c>
      <c r="E13" s="308" t="s">
        <v>53</v>
      </c>
      <c r="F13" s="308" t="s">
        <v>53</v>
      </c>
    </row>
    <row r="14" spans="1:6" ht="15">
      <c r="A14" s="80" t="s">
        <v>41</v>
      </c>
      <c r="B14" s="53" t="s">
        <v>6</v>
      </c>
      <c r="C14" s="53"/>
      <c r="D14" s="310" t="s">
        <v>65</v>
      </c>
      <c r="E14" s="308" t="s">
        <v>53</v>
      </c>
      <c r="F14" s="308" t="s">
        <v>53</v>
      </c>
    </row>
    <row r="15" spans="1:6" ht="15">
      <c r="A15" s="80" t="s">
        <v>37</v>
      </c>
      <c r="B15" s="53" t="s">
        <v>12</v>
      </c>
      <c r="C15" s="53" t="s">
        <v>7</v>
      </c>
      <c r="D15" s="310" t="s">
        <v>66</v>
      </c>
      <c r="E15" s="308" t="s">
        <v>53</v>
      </c>
      <c r="F15" s="308" t="s">
        <v>53</v>
      </c>
    </row>
    <row r="16" spans="1:6" ht="30.75">
      <c r="A16" s="81" t="s">
        <v>24</v>
      </c>
      <c r="B16" s="54" t="s">
        <v>12</v>
      </c>
      <c r="C16" s="54" t="s">
        <v>7</v>
      </c>
      <c r="D16" s="310" t="s">
        <v>67</v>
      </c>
      <c r="E16" s="308" t="s">
        <v>53</v>
      </c>
      <c r="F16" s="308" t="s">
        <v>53</v>
      </c>
    </row>
    <row r="17" spans="1:6" ht="30.75">
      <c r="A17" s="81" t="s">
        <v>29</v>
      </c>
      <c r="B17" s="54" t="s">
        <v>6</v>
      </c>
      <c r="C17" s="54"/>
      <c r="D17" s="310" t="s">
        <v>68</v>
      </c>
      <c r="E17" s="309" t="s">
        <v>53</v>
      </c>
      <c r="F17" s="309" t="s">
        <v>53</v>
      </c>
    </row>
    <row r="18" spans="1:6" ht="30.75">
      <c r="A18" s="81" t="s">
        <v>31</v>
      </c>
      <c r="B18" s="54" t="s">
        <v>6</v>
      </c>
      <c r="C18" s="54"/>
      <c r="D18" s="310" t="s">
        <v>69</v>
      </c>
      <c r="E18" s="309" t="s">
        <v>53</v>
      </c>
      <c r="F18" s="309" t="s">
        <v>53</v>
      </c>
    </row>
    <row r="19" spans="1:6" ht="15">
      <c r="A19" s="81" t="s">
        <v>0</v>
      </c>
      <c r="B19" s="54" t="s">
        <v>6</v>
      </c>
      <c r="C19" s="54"/>
      <c r="D19" s="312" t="s">
        <v>70</v>
      </c>
      <c r="E19" s="309" t="s">
        <v>53</v>
      </c>
      <c r="F19" s="309" t="s">
        <v>53</v>
      </c>
    </row>
    <row r="20" spans="1:6" ht="15">
      <c r="A20" s="81" t="s">
        <v>27</v>
      </c>
      <c r="B20" s="54" t="s">
        <v>12</v>
      </c>
      <c r="C20" s="54" t="s">
        <v>7</v>
      </c>
      <c r="D20" s="312" t="s">
        <v>71</v>
      </c>
      <c r="E20" s="309" t="s">
        <v>53</v>
      </c>
      <c r="F20" s="309" t="s">
        <v>53</v>
      </c>
    </row>
    <row r="21" spans="1:6" ht="30.75">
      <c r="A21" s="121" t="s">
        <v>34</v>
      </c>
      <c r="B21" s="123" t="s">
        <v>12</v>
      </c>
      <c r="C21" s="123" t="s">
        <v>7</v>
      </c>
      <c r="D21" s="313" t="s">
        <v>72</v>
      </c>
      <c r="E21" s="309" t="s">
        <v>53</v>
      </c>
      <c r="F21" s="309" t="s">
        <v>53</v>
      </c>
    </row>
    <row r="22" spans="1:6" ht="15">
      <c r="A22" s="53" t="s">
        <v>30</v>
      </c>
      <c r="B22" s="53" t="s">
        <v>6</v>
      </c>
      <c r="C22" s="53"/>
      <c r="D22" s="312" t="s">
        <v>73</v>
      </c>
      <c r="E22" s="308" t="s">
        <v>53</v>
      </c>
      <c r="F22" s="308" t="s">
        <v>53</v>
      </c>
    </row>
    <row r="23" spans="1:6" ht="15"/>
  </sheetData>
  <sortState xmlns:xlrd2="http://schemas.microsoft.com/office/spreadsheetml/2017/richdata2" ref="A3:F22">
    <sortCondition ref="A22"/>
  </sortState>
  <hyperlinks>
    <hyperlink ref="A1" location="'Modelo Dominio Anémico'!A1" display="&lt;&lt; Modelo de dominio &gt;&gt;" xr:uid="{38BFBB1E-E07E-4DC2-A47D-8AFCD862D546}"/>
    <hyperlink ref="F10" location="EmpleadoAerolinea_Caracterizac!A1" display="Ver" xr:uid="{D0F84434-F7B0-4A05-A157-584FD186E919}"/>
    <hyperlink ref="F13" location="Matricula_Caracterización!A1" display="Ver" xr:uid="{4E1F1606-BDD1-4733-9690-D3DF28D68D01}"/>
    <hyperlink ref="E10" location="EmpleadoAerolinea_Muestreo!B1" display="Ver" xr:uid="{C91D4412-E721-42AF-84F5-DD006440E5BD}"/>
    <hyperlink ref="E13" location="Matricula_Muestreo!B1" display="Ver" xr:uid="{B0175384-C167-4ABC-9D4A-D89C03B7CCDA}"/>
    <hyperlink ref="F12" location="Familia_Caracterización!A1" display="Ver" xr:uid="{74D539A9-1229-4C19-82A9-04EFF22851C0}"/>
    <hyperlink ref="F14" location="Modelo_Caracterización!A1" display="Ver" xr:uid="{DE71562F-8BCD-41B7-875F-DDE55FEEE07F}"/>
    <hyperlink ref="F9" location="Empleado_Caracterización!A1" display="Ver" xr:uid="{A9ABAB0C-0C19-4458-ABA8-788C612DD2CC}"/>
    <hyperlink ref="E12" location="Familia_Muestreo!B1" display="Ver" xr:uid="{5B4FCC77-38C0-46A0-A71F-333807466CA6}"/>
    <hyperlink ref="E14" location="Modelo_Muestreo!B1" display="Ver" xr:uid="{4EC2135A-2173-4587-AE84-59B208280A4D}"/>
    <hyperlink ref="E9" location="Empleado_Muestreo!B1" display="Ver" xr:uid="{A7ECA054-E21B-43A7-955A-BA45C72CE2C3}"/>
    <hyperlink ref="F16" location="Pais_Caracterización!A1" display="Ver" xr:uid="{ACF98D85-49CF-4628-91D1-681F603503C5}"/>
    <hyperlink ref="F20" location="TipoAeropuerto_Caracterización!A1" display="Ver" xr:uid="{87EA874E-1F8D-4285-B6E4-8F12F489FE09}"/>
    <hyperlink ref="F15" location="Motor_Caracterización!A1" display="Ver" xr:uid="{DAC8C28A-78D2-4F70-9565-8AF6FA420D5A}"/>
    <hyperlink ref="F18" location="RutaAerolinea_Caracterización!A1" display="Ver" xr:uid="{F73130DB-1D46-42AA-A702-80E76390228B}"/>
    <hyperlink ref="F3" location="Aerolinea_Caracterización!A1" display="Ver" xr:uid="{356D17AA-FFB3-4B95-AC07-E3A4FD244540}"/>
    <hyperlink ref="F11" location="Fabricante_Caracterización!A1" display="Ver" xr:uid="{6767F8BD-9523-462C-9203-F2D0F21668BC}"/>
    <hyperlink ref="F17" location="Ruta_Caracterizacion!A1" display="Ver" xr:uid="{D3008828-C644-4D62-9B54-C37EF805CE67}"/>
    <hyperlink ref="F21" location="TipoIntegrante_Caracterización!A1" display="Ver" xr:uid="{22F863CB-820A-4CDE-AEE7-8A8A36F0319D}"/>
    <hyperlink ref="F4" location="'Aeropuerto_Caracterización '!A1" display="Ver" xr:uid="{1E386B6F-2847-4A91-860D-694BF7BC2DF7}"/>
    <hyperlink ref="F22" location="Vuelo_Caracterizacion!A1" display="Ver" xr:uid="{DE3EF13F-4969-455B-BAFD-BC8FF1850F72}"/>
    <hyperlink ref="F7" location="Departamento_Caracterización!A1" display="Ver" xr:uid="{BAE785A1-CBEE-4865-B043-B0CDE736C6E8}"/>
    <hyperlink ref="E20" location="TipoAeropuerto_Muestreo!A1" display="Ver" xr:uid="{451EA1E9-8A17-49BE-BA4E-0AF462FE3DD5}"/>
    <hyperlink ref="E4" location="'Aeropuerto_Muestreo '!B1" display="Ver" xr:uid="{680438FE-0CE5-4389-9955-6D3BDE6628CE}"/>
    <hyperlink ref="E17" location="'Ruta_Muestreo '!A1" display="Ver" xr:uid="{1A7EFF42-005E-4EA1-93F6-ABA62704E4BB}"/>
    <hyperlink ref="E22" location="'Vuelo_Muestreo '!A1" display="Ver" xr:uid="{A38C3205-74B4-444B-B95C-6B888AD31DEC}"/>
    <hyperlink ref="E18" location="RutaAerolinea_Muestreo!A1" display="Ver" xr:uid="{5F2422F9-CFDF-464A-8FB9-009706F2EF8D}"/>
    <hyperlink ref="E21" location="TipoIntegrante_Muestreo!A1" display="Ver" xr:uid="{6D2D7178-FF4C-41DC-8932-291C93637725}"/>
    <hyperlink ref="E3" location="Aerolinea_Muestreo!B1" display="Ver" xr:uid="{B5BD3B98-47EC-437A-B5A0-95949C36DE88}"/>
    <hyperlink ref="E11" location="Fabricante_Muestreo!B1" display="Ver" xr:uid="{975D8472-0042-45DA-9C7D-5677B0BAF2D1}"/>
    <hyperlink ref="E15" location="Motor_Muestreo!B1" display="Ver" xr:uid="{84D04FF9-015B-4DF0-AD78-52D90723D1F6}"/>
    <hyperlink ref="E7" location="Departamento_Muestreo!B1" display="Ver" xr:uid="{7AC345D0-3656-425A-8341-E6424D29C7CC}"/>
    <hyperlink ref="E16" location="Pais_Muestreo!B1" display="Ver" xr:uid="{0FA6073D-7E6A-476F-ADC5-20A83A16B7E6}"/>
    <hyperlink ref="E8" location="'Deta_BitacoraDiaria_Muestreo '!A1" display="Ver" xr:uid="{F513C196-5A99-400B-87C4-3AFD4F369823}"/>
    <hyperlink ref="F8" location="Det_BitacoraDia_Caracterización!A1" display="Ver" xr:uid="{585472BD-B4A0-43C2-B840-BAC5429E34E0}"/>
    <hyperlink ref="F5" location="'BitacoraDiaria_Caracterización '!A1" display="Ver" xr:uid="{045C4531-76B1-4191-A33F-8C0D9652FEEB}"/>
    <hyperlink ref="E5" location="'BitacoraDiaria_Muestreo '!A1" display="Ver" xr:uid="{9ED5DEF7-2847-46F3-9348-DCF3446F8829}"/>
    <hyperlink ref="F19" location="Tipo_Caracterización!A1" display="Ver" xr:uid="{6C3904AF-9AD8-4C40-8DB0-7B75FCEBCE34}"/>
    <hyperlink ref="E19" location="Tipo_Muestreo!A1" display="Ver" xr:uid="{26773C5C-FF87-4791-98E1-62C329D04245}"/>
    <hyperlink ref="E6" location="Ciudad_Muestreo!A1" display="Ver" xr:uid="{7DCA96E8-6692-4832-B2D6-A0E6115B053D}"/>
    <hyperlink ref="F6" location="Ciudad_Caracterización!A1" display="Ver" xr:uid="{AD2145B4-D9E0-4AFF-8169-6707BF05FA54}"/>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AF86D1BC-934A-46E1-AFF2-8C1A4187B370}">
          <x14:formula1>
            <xm:f>Valores!$B$2:$B$3</xm:f>
          </x14:formula1>
          <xm:sqref>C3:C20</xm:sqref>
        </x14:dataValidation>
        <x14:dataValidation type="list" allowBlank="1" showInputMessage="1" showErrorMessage="1" xr:uid="{4676EA03-F34C-4D27-AFDE-FBB2688B5809}">
          <x14:formula1>
            <xm:f>Valores!$A$2:$A$3</xm:f>
          </x14:formula1>
          <xm:sqref>B3:B21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31694-EC3D-44F8-8BBA-1EDA0A0D2248}">
  <sheetPr codeName="Hoja23">
    <tabColor rgb="FF0070C0"/>
  </sheetPr>
  <dimension ref="A1:X48"/>
  <sheetViews>
    <sheetView workbookViewId="0">
      <selection activeCell="J30" sqref="J30"/>
    </sheetView>
  </sheetViews>
  <sheetFormatPr defaultColWidth="10.85546875" defaultRowHeight="15" customHeight="1"/>
  <cols>
    <col min="1" max="4" width="38.5703125" style="4" customWidth="1"/>
    <col min="5" max="5" width="27.28515625" style="4" customWidth="1"/>
    <col min="6" max="6" width="20.140625" style="4" bestFit="1" customWidth="1"/>
    <col min="7" max="7" width="32.28515625" style="4" customWidth="1"/>
    <col min="8" max="8" width="32.42578125" style="4" bestFit="1" customWidth="1"/>
    <col min="9" max="9" width="36.5703125" style="4" bestFit="1" customWidth="1"/>
    <col min="10" max="10" width="40.5703125" style="4" customWidth="1"/>
    <col min="11" max="11" width="33.42578125" style="4" customWidth="1"/>
    <col min="12" max="12" width="34.28515625" style="4" customWidth="1"/>
    <col min="13" max="13" width="28.85546875" style="4" bestFit="1" customWidth="1"/>
    <col min="14" max="14" width="28.85546875" style="4" customWidth="1"/>
    <col min="15" max="15" width="25.5703125" style="4" bestFit="1" customWidth="1"/>
    <col min="16" max="17" width="36.5703125" style="4" bestFit="1" customWidth="1"/>
    <col min="18" max="18" width="18.7109375" style="4" bestFit="1" customWidth="1"/>
    <col min="19" max="19" width="10.85546875" style="4"/>
    <col min="20" max="20" width="17.7109375" style="4" bestFit="1" customWidth="1"/>
    <col min="21" max="21" width="59.5703125" style="4" customWidth="1"/>
    <col min="22" max="22" width="58" style="4" customWidth="1"/>
    <col min="23" max="23" width="27.140625" style="4" customWidth="1"/>
    <col min="24" max="24" width="24.5703125" style="4" customWidth="1"/>
    <col min="25" max="16384" width="10.85546875" style="4"/>
  </cols>
  <sheetData>
    <row r="1" spans="1:24" customFormat="1">
      <c r="A1" s="58" t="s">
        <v>46</v>
      </c>
      <c r="B1" s="69" t="s">
        <v>74</v>
      </c>
      <c r="C1" s="69" t="s">
        <v>75</v>
      </c>
    </row>
    <row r="2" spans="1:24" s="60" customFormat="1">
      <c r="A2" s="59" t="str">
        <f>'Objetos Dominio'!$A$2</f>
        <v>Nombre</v>
      </c>
      <c r="B2" s="730" t="str">
        <f>'Objetos Dominio'!$A$3</f>
        <v>Aerolínea</v>
      </c>
      <c r="C2" s="730"/>
      <c r="D2" s="730"/>
      <c r="E2" s="730"/>
      <c r="F2" s="730"/>
      <c r="G2" s="730"/>
      <c r="H2" s="730"/>
      <c r="I2" s="730"/>
      <c r="J2" s="730"/>
      <c r="K2" s="730"/>
      <c r="L2" s="730"/>
      <c r="M2" s="730"/>
      <c r="N2" s="730"/>
      <c r="O2" s="730"/>
      <c r="P2" s="730"/>
      <c r="Q2" s="730"/>
      <c r="R2" s="730"/>
      <c r="S2" s="730"/>
      <c r="T2" s="730"/>
      <c r="U2" s="730"/>
    </row>
    <row r="3" spans="1:24" s="60" customFormat="1" ht="14.1" customHeight="1">
      <c r="A3" s="59" t="str">
        <f>'Objetos Dominio'!$B$2</f>
        <v>Tipo</v>
      </c>
      <c r="B3" s="731" t="str">
        <f>'Objetos Dominio'!$B$3</f>
        <v>Propio</v>
      </c>
      <c r="C3" s="731"/>
      <c r="D3" s="731"/>
      <c r="E3" s="731"/>
      <c r="F3" s="731"/>
      <c r="G3" s="731"/>
      <c r="H3" s="731"/>
      <c r="I3" s="731"/>
      <c r="J3" s="731"/>
      <c r="K3" s="731"/>
      <c r="L3" s="731"/>
      <c r="M3" s="731"/>
      <c r="N3" s="731"/>
      <c r="O3" s="731"/>
      <c r="P3" s="731"/>
      <c r="Q3" s="731"/>
      <c r="R3" s="731"/>
      <c r="S3" s="731"/>
      <c r="T3" s="731"/>
      <c r="U3" s="731"/>
    </row>
    <row r="4" spans="1:24" s="60" customFormat="1" ht="14.1" customHeight="1">
      <c r="A4" s="59" t="str">
        <f>'Objetos Dominio'!$C$2</f>
        <v>Contexto Origen</v>
      </c>
      <c r="B4" s="731" t="str">
        <f>'Objetos Dominio'!$C$3</f>
        <v>Flight Hours</v>
      </c>
      <c r="C4" s="731"/>
      <c r="D4" s="731"/>
      <c r="E4" s="731"/>
      <c r="F4" s="731"/>
      <c r="G4" s="731"/>
      <c r="H4" s="731"/>
      <c r="I4" s="731"/>
      <c r="J4" s="731"/>
      <c r="K4" s="731"/>
      <c r="L4" s="731"/>
      <c r="M4" s="731"/>
      <c r="N4" s="731"/>
      <c r="O4" s="731"/>
      <c r="P4" s="731"/>
      <c r="Q4" s="731"/>
      <c r="R4" s="731"/>
      <c r="S4" s="731"/>
      <c r="T4" s="731"/>
      <c r="U4" s="731"/>
    </row>
    <row r="5" spans="1:24" s="60" customFormat="1" ht="14.1" customHeight="1">
      <c r="A5" s="94" t="str">
        <f>'Objetos Dominio'!$D$2</f>
        <v>Descripción</v>
      </c>
      <c r="B5" s="732" t="str">
        <f>'Objetos Dominio'!$D$3</f>
        <v>Objeto de dominio que representa aquel grupo de personas expertas  en mantenimiento , dominio y control  tanto  en lo social como en lo aeronáutico para un bien común.</v>
      </c>
      <c r="C5" s="732"/>
      <c r="D5" s="732"/>
      <c r="E5" s="732"/>
      <c r="F5" s="732"/>
      <c r="G5" s="732"/>
      <c r="H5" s="732"/>
      <c r="I5" s="732"/>
      <c r="J5" s="732"/>
      <c r="K5" s="732"/>
      <c r="L5" s="732"/>
      <c r="M5" s="732"/>
      <c r="N5" s="732"/>
      <c r="O5" s="732"/>
      <c r="P5" s="732"/>
      <c r="Q5" s="732"/>
      <c r="R5" s="732"/>
      <c r="S5" s="732"/>
      <c r="T5" s="732"/>
      <c r="U5" s="732"/>
    </row>
    <row r="6" spans="1:24" s="60" customFormat="1">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593" t="s">
        <v>49</v>
      </c>
      <c r="V6" s="588" t="str">
        <f>A28</f>
        <v>Consultar la Información de la Aerolínea</v>
      </c>
      <c r="W6" s="589" t="str">
        <f>A30</f>
        <v>Inactivar la Aerolínea</v>
      </c>
      <c r="X6" s="589" t="str">
        <f>A33</f>
        <v xml:space="preserve">Activar la Aerolínea
</v>
      </c>
    </row>
    <row r="7" spans="1:24" s="60" customFormat="1" ht="53.45" customHeight="1">
      <c r="A7" s="63" t="str">
        <f>Aerolinea_Muestreo!$A$3</f>
        <v>Id</v>
      </c>
      <c r="B7" s="64" t="s">
        <v>17</v>
      </c>
      <c r="C7" s="64">
        <v>36</v>
      </c>
      <c r="D7" s="64">
        <v>36</v>
      </c>
      <c r="E7" s="64"/>
      <c r="F7" s="64"/>
      <c r="G7" s="64"/>
      <c r="H7" s="64"/>
      <c r="I7" s="64"/>
      <c r="J7" s="67" t="s">
        <v>96</v>
      </c>
      <c r="K7" s="64"/>
      <c r="L7" s="65"/>
      <c r="M7" s="66" t="s">
        <v>9</v>
      </c>
      <c r="N7" s="66" t="s">
        <v>9</v>
      </c>
      <c r="O7" s="66" t="s">
        <v>9</v>
      </c>
      <c r="P7" s="66" t="s">
        <v>14</v>
      </c>
      <c r="Q7" s="66" t="s">
        <v>9</v>
      </c>
      <c r="R7" s="66" t="s">
        <v>14</v>
      </c>
      <c r="S7" s="66" t="s">
        <v>14</v>
      </c>
      <c r="T7" s="66" t="s">
        <v>9</v>
      </c>
      <c r="U7" s="594" t="str">
        <f>Aerolinea_Muestreo!$A$2</f>
        <v>Corresponde a un identificador único del parámetro dentro del objeto de dominio Parámetro.</v>
      </c>
      <c r="V7" s="590" t="s">
        <v>97</v>
      </c>
      <c r="W7" s="572" t="s">
        <v>98</v>
      </c>
      <c r="X7" s="572" t="s">
        <v>98</v>
      </c>
    </row>
    <row r="8" spans="1:24" s="60" customFormat="1" ht="63" customHeight="1">
      <c r="A8" s="63" t="str">
        <f>Aerolinea_Muestreo!$B$3</f>
        <v>Nombre</v>
      </c>
      <c r="B8" s="64" t="s">
        <v>17</v>
      </c>
      <c r="C8" s="64">
        <v>1</v>
      </c>
      <c r="D8" s="64">
        <v>30</v>
      </c>
      <c r="E8" s="64"/>
      <c r="F8" s="64"/>
      <c r="G8" s="64"/>
      <c r="H8" s="64"/>
      <c r="I8" s="64"/>
      <c r="J8" s="67" t="s">
        <v>99</v>
      </c>
      <c r="K8" s="64"/>
      <c r="L8" s="65"/>
      <c r="M8" s="66" t="s">
        <v>9</v>
      </c>
      <c r="N8" s="66" t="s">
        <v>9</v>
      </c>
      <c r="O8" s="66" t="s">
        <v>14</v>
      </c>
      <c r="P8" s="66" t="s">
        <v>14</v>
      </c>
      <c r="Q8" s="66" t="s">
        <v>9</v>
      </c>
      <c r="R8" s="66" t="s">
        <v>14</v>
      </c>
      <c r="S8" s="66" t="s">
        <v>14</v>
      </c>
      <c r="T8" s="66" t="s">
        <v>14</v>
      </c>
      <c r="U8" s="594" t="str">
        <f>Aerolinea_Muestreo!$B$2</f>
        <v>Corresponde al nombre de la aerolínea.</v>
      </c>
      <c r="V8" s="590" t="s">
        <v>100</v>
      </c>
      <c r="W8" s="572" t="s">
        <v>101</v>
      </c>
      <c r="X8" s="572" t="s">
        <v>101</v>
      </c>
    </row>
    <row r="9" spans="1:24" s="60" customFormat="1" ht="58.5" customHeight="1">
      <c r="A9" s="63" t="str">
        <f>Aerolinea_Muestreo!$C$3</f>
        <v>Código</v>
      </c>
      <c r="B9" s="64" t="s">
        <v>17</v>
      </c>
      <c r="C9" s="64">
        <v>2</v>
      </c>
      <c r="D9" s="64">
        <v>3</v>
      </c>
      <c r="E9" s="64"/>
      <c r="F9" s="64"/>
      <c r="G9" s="64"/>
      <c r="H9" s="64"/>
      <c r="I9" s="64"/>
      <c r="J9" s="67" t="s">
        <v>102</v>
      </c>
      <c r="K9" s="64"/>
      <c r="L9" s="68"/>
      <c r="M9" s="66" t="s">
        <v>9</v>
      </c>
      <c r="N9" s="66" t="s">
        <v>9</v>
      </c>
      <c r="O9" s="66" t="s">
        <v>14</v>
      </c>
      <c r="P9" s="66" t="s">
        <v>14</v>
      </c>
      <c r="Q9" s="66" t="s">
        <v>9</v>
      </c>
      <c r="R9" s="66" t="s">
        <v>14</v>
      </c>
      <c r="S9" s="66" t="s">
        <v>14</v>
      </c>
      <c r="T9" s="66" t="s">
        <v>14</v>
      </c>
      <c r="U9" s="594" t="str">
        <f>Aerolinea_Muestreo!$C$2</f>
        <v>Corresponde al código de la aerolínea.</v>
      </c>
      <c r="V9" s="591" t="s">
        <v>103</v>
      </c>
      <c r="W9" s="572" t="s">
        <v>101</v>
      </c>
      <c r="X9" s="572" t="s">
        <v>101</v>
      </c>
    </row>
    <row r="10" spans="1:24" s="60" customFormat="1" ht="40.5" customHeight="1">
      <c r="A10" s="63" t="str">
        <f>Aerolinea_Muestreo!$D$3</f>
        <v>Estado</v>
      </c>
      <c r="B10" s="64" t="s">
        <v>21</v>
      </c>
      <c r="C10" s="64">
        <v>6</v>
      </c>
      <c r="D10" s="64">
        <v>8</v>
      </c>
      <c r="E10" s="64"/>
      <c r="F10" s="64"/>
      <c r="G10" s="64"/>
      <c r="H10" s="64"/>
      <c r="I10" s="64"/>
      <c r="J10" s="67" t="s">
        <v>102</v>
      </c>
      <c r="K10" s="64"/>
      <c r="L10" s="68"/>
      <c r="M10" s="66" t="s">
        <v>9</v>
      </c>
      <c r="N10" s="66" t="s">
        <v>9</v>
      </c>
      <c r="O10" s="66" t="s">
        <v>14</v>
      </c>
      <c r="P10" s="66" t="s">
        <v>14</v>
      </c>
      <c r="Q10" s="66" t="s">
        <v>9</v>
      </c>
      <c r="R10" s="66" t="s">
        <v>14</v>
      </c>
      <c r="S10" s="66" t="s">
        <v>14</v>
      </c>
      <c r="T10" s="66" t="s">
        <v>14</v>
      </c>
      <c r="U10" s="594" t="str">
        <f>Aerolinea_Muestreo!$D$2</f>
        <v>Indica el estado operativo de la aerolínea</v>
      </c>
      <c r="V10" s="592" t="s">
        <v>104</v>
      </c>
      <c r="W10" s="572" t="s">
        <v>98</v>
      </c>
      <c r="X10" s="572" t="s">
        <v>105</v>
      </c>
    </row>
    <row r="11" spans="1:24" s="60" customFormat="1" ht="45" customHeight="1">
      <c r="V11" s="586"/>
      <c r="W11" s="587"/>
      <c r="X11" s="587"/>
    </row>
    <row r="12" spans="1:24" s="60" customFormat="1" ht="45" customHeight="1">
      <c r="V12" s="586"/>
      <c r="W12" s="587"/>
      <c r="X12" s="587"/>
    </row>
    <row r="13" spans="1:24" s="3" customFormat="1">
      <c r="V13" s="586"/>
      <c r="W13" s="587"/>
      <c r="X13" s="587"/>
    </row>
    <row r="14" spans="1:24" s="60" customFormat="1">
      <c r="A14" s="733" t="s">
        <v>106</v>
      </c>
      <c r="B14" s="734"/>
      <c r="C14" s="735"/>
    </row>
    <row r="15" spans="1:24" s="60" customFormat="1">
      <c r="A15" s="70" t="s">
        <v>107</v>
      </c>
      <c r="B15" s="71" t="s">
        <v>49</v>
      </c>
      <c r="C15" s="72" t="s">
        <v>108</v>
      </c>
    </row>
    <row r="16" spans="1:24" s="60" customFormat="1" ht="39" customHeight="1">
      <c r="A16" s="73" t="s">
        <v>109</v>
      </c>
      <c r="B16" s="74" t="str">
        <f>Aerolinea_Muestreo!E2</f>
        <v>El código de la aerolínea no se puede repetir.</v>
      </c>
      <c r="C16" s="75" t="str">
        <f>A9</f>
        <v>Código</v>
      </c>
    </row>
    <row r="17" spans="1:18" s="60" customFormat="1" ht="39" customHeight="1">
      <c r="A17" s="142" t="s">
        <v>110</v>
      </c>
      <c r="B17" s="143" t="str">
        <f>Aerolinea_Muestreo!F2</f>
        <v>El nombre de la aerolínea no se puede repetir.</v>
      </c>
      <c r="C17" s="144" t="str">
        <f>A8</f>
        <v>Nombre</v>
      </c>
    </row>
    <row r="20" spans="1:18"/>
    <row r="22" spans="1:18" ht="14.45" customHeight="1"/>
    <row r="24" spans="1:18">
      <c r="A24" s="153"/>
    </row>
    <row r="25" spans="1:18">
      <c r="B25"/>
      <c r="C25" s="153"/>
      <c r="D25"/>
      <c r="E25"/>
      <c r="F25"/>
      <c r="G25"/>
      <c r="H25"/>
      <c r="I25" s="153"/>
      <c r="J25"/>
      <c r="K25" s="153"/>
      <c r="L25"/>
      <c r="M25"/>
      <c r="N25"/>
      <c r="O25"/>
      <c r="P25" s="153"/>
      <c r="Q25" s="153"/>
      <c r="R25"/>
    </row>
    <row r="26" spans="1:18">
      <c r="A26" s="155" t="s">
        <v>111</v>
      </c>
      <c r="B26" s="156" t="s">
        <v>49</v>
      </c>
      <c r="C26" s="157"/>
      <c r="D26" s="158" t="s">
        <v>112</v>
      </c>
      <c r="E26" s="159"/>
      <c r="F26" s="157"/>
      <c r="G26" s="158" t="s">
        <v>113</v>
      </c>
      <c r="H26" s="726" t="s">
        <v>114</v>
      </c>
      <c r="I26" s="727"/>
      <c r="J26" s="728" t="s">
        <v>115</v>
      </c>
      <c r="K26" s="729"/>
    </row>
    <row r="27" spans="1:18">
      <c r="A27" s="160"/>
      <c r="B27" s="161"/>
      <c r="C27" s="157" t="s">
        <v>116</v>
      </c>
      <c r="D27" s="170" t="s">
        <v>117</v>
      </c>
      <c r="E27" s="188" t="s">
        <v>49</v>
      </c>
      <c r="F27" s="166" t="s">
        <v>77</v>
      </c>
      <c r="G27" s="188" t="s">
        <v>49</v>
      </c>
      <c r="H27" s="166" t="s">
        <v>118</v>
      </c>
      <c r="I27" s="159" t="s">
        <v>49</v>
      </c>
      <c r="J27" s="189" t="s">
        <v>119</v>
      </c>
      <c r="K27" s="166" t="s">
        <v>120</v>
      </c>
    </row>
    <row r="28" spans="1:18" ht="84.75" customHeight="1">
      <c r="A28" s="747" t="s">
        <v>121</v>
      </c>
      <c r="B28" s="749" t="s">
        <v>122</v>
      </c>
      <c r="C28" s="736" t="s">
        <v>123</v>
      </c>
      <c r="D28" s="736" t="s">
        <v>35</v>
      </c>
      <c r="E28" s="736" t="s">
        <v>124</v>
      </c>
      <c r="F28" s="736" t="s">
        <v>125</v>
      </c>
      <c r="G28" s="745" t="s">
        <v>126</v>
      </c>
      <c r="H28" s="736" t="s">
        <v>127</v>
      </c>
      <c r="I28" s="736" t="s">
        <v>128</v>
      </c>
      <c r="J28" s="736" t="s">
        <v>129</v>
      </c>
      <c r="K28" s="736" t="s">
        <v>130</v>
      </c>
    </row>
    <row r="29" spans="1:18" ht="85.5" customHeight="1">
      <c r="A29" s="748"/>
      <c r="B29" s="750"/>
      <c r="C29" s="737"/>
      <c r="D29" s="737"/>
      <c r="E29" s="737"/>
      <c r="F29" s="737"/>
      <c r="G29" s="746"/>
      <c r="H29" s="737"/>
      <c r="I29" s="737"/>
      <c r="J29" s="737"/>
      <c r="K29" s="737"/>
    </row>
    <row r="30" spans="1:18" ht="72" customHeight="1">
      <c r="A30" s="738" t="s">
        <v>131</v>
      </c>
      <c r="B30" s="739" t="s">
        <v>132</v>
      </c>
      <c r="C30" s="455" t="s">
        <v>133</v>
      </c>
      <c r="D30" s="468" t="s">
        <v>17</v>
      </c>
      <c r="E30" s="472" t="s">
        <v>134</v>
      </c>
      <c r="F30" s="477"/>
      <c r="G30" s="483"/>
      <c r="H30" s="479" t="s">
        <v>135</v>
      </c>
      <c r="I30" s="451" t="s">
        <v>136</v>
      </c>
      <c r="J30" s="453" t="s">
        <v>129</v>
      </c>
      <c r="K30" s="454" t="s">
        <v>130</v>
      </c>
    </row>
    <row r="31" spans="1:18" ht="70.5" customHeight="1">
      <c r="A31" s="738"/>
      <c r="B31" s="739"/>
      <c r="C31" s="456"/>
      <c r="D31" s="469"/>
      <c r="E31" s="473"/>
      <c r="F31" s="478"/>
      <c r="G31" s="459"/>
      <c r="H31" s="479" t="s">
        <v>137</v>
      </c>
      <c r="I31" s="451" t="s">
        <v>138</v>
      </c>
      <c r="J31" s="453" t="s">
        <v>129</v>
      </c>
      <c r="K31" s="454" t="s">
        <v>130</v>
      </c>
    </row>
    <row r="32" spans="1:18" ht="98.25" customHeight="1">
      <c r="A32" s="738"/>
      <c r="B32" s="738"/>
      <c r="C32" s="463" t="s">
        <v>2</v>
      </c>
      <c r="D32" s="463" t="s">
        <v>21</v>
      </c>
      <c r="E32" s="476" t="s">
        <v>139</v>
      </c>
      <c r="F32" s="478"/>
      <c r="G32" s="459"/>
      <c r="H32" s="479" t="s">
        <v>127</v>
      </c>
      <c r="I32" s="451" t="s">
        <v>128</v>
      </c>
      <c r="J32" s="453" t="s">
        <v>129</v>
      </c>
      <c r="K32" s="454" t="s">
        <v>130</v>
      </c>
    </row>
    <row r="33" spans="1:11" ht="79.5" customHeight="1">
      <c r="A33" s="736" t="s">
        <v>140</v>
      </c>
      <c r="B33" s="742" t="s">
        <v>141</v>
      </c>
      <c r="C33" s="455" t="s">
        <v>142</v>
      </c>
      <c r="D33" s="468" t="s">
        <v>17</v>
      </c>
      <c r="E33" s="472" t="s">
        <v>134</v>
      </c>
      <c r="F33" s="477"/>
      <c r="G33" s="483"/>
      <c r="H33" s="482" t="s">
        <v>143</v>
      </c>
      <c r="I33" s="461" t="s">
        <v>144</v>
      </c>
      <c r="J33" s="458" t="s">
        <v>129</v>
      </c>
      <c r="K33" s="462" t="s">
        <v>130</v>
      </c>
    </row>
    <row r="34" spans="1:11" ht="69.75" customHeight="1">
      <c r="A34" s="740"/>
      <c r="B34" s="743"/>
      <c r="C34" s="456"/>
      <c r="D34" s="469"/>
      <c r="E34" s="473"/>
      <c r="F34" s="480"/>
      <c r="G34" s="459"/>
      <c r="H34" s="479" t="s">
        <v>137</v>
      </c>
      <c r="I34" s="451" t="s">
        <v>138</v>
      </c>
      <c r="J34" s="453" t="s">
        <v>129</v>
      </c>
      <c r="K34" s="454" t="s">
        <v>130</v>
      </c>
    </row>
    <row r="35" spans="1:11" ht="80.25" customHeight="1">
      <c r="A35" s="741"/>
      <c r="B35" s="744"/>
      <c r="C35" s="456" t="s">
        <v>2</v>
      </c>
      <c r="D35" s="457" t="s">
        <v>21</v>
      </c>
      <c r="E35" s="474" t="s">
        <v>139</v>
      </c>
      <c r="F35" s="481"/>
      <c r="G35" s="484"/>
      <c r="H35" s="479" t="s">
        <v>127</v>
      </c>
      <c r="I35" s="465" t="s">
        <v>128</v>
      </c>
      <c r="J35" s="453" t="s">
        <v>129</v>
      </c>
      <c r="K35" s="466" t="s">
        <v>130</v>
      </c>
    </row>
    <row r="36" spans="1:11"/>
    <row r="37" spans="1:11"/>
    <row r="38" spans="1:11"/>
    <row r="39" spans="1:11"/>
    <row r="40" spans="1:11"/>
    <row r="42" spans="1:11"/>
    <row r="43" spans="1:11"/>
    <row r="44" spans="1:11"/>
    <row r="45" spans="1:11"/>
    <row r="46" spans="1:11"/>
    <row r="47" spans="1:11"/>
    <row r="48" spans="1:11"/>
  </sheetData>
  <mergeCells count="22">
    <mergeCell ref="K28:K29"/>
    <mergeCell ref="A30:A32"/>
    <mergeCell ref="B30:B32"/>
    <mergeCell ref="A33:A35"/>
    <mergeCell ref="B33:B35"/>
    <mergeCell ref="F28:F29"/>
    <mergeCell ref="G28:G29"/>
    <mergeCell ref="H28:H29"/>
    <mergeCell ref="I28:I29"/>
    <mergeCell ref="J28:J29"/>
    <mergeCell ref="A28:A29"/>
    <mergeCell ref="B28:B29"/>
    <mergeCell ref="C28:C29"/>
    <mergeCell ref="D28:D29"/>
    <mergeCell ref="E28:E29"/>
    <mergeCell ref="H26:I26"/>
    <mergeCell ref="J26:K26"/>
    <mergeCell ref="B2:U2"/>
    <mergeCell ref="B3:U3"/>
    <mergeCell ref="B4:U4"/>
    <mergeCell ref="B5:U5"/>
    <mergeCell ref="A14:C14"/>
  </mergeCells>
  <phoneticPr fontId="10" type="noConversion"/>
  <hyperlinks>
    <hyperlink ref="C1" location="Aerolinea_Muestreo!A1" display="&lt;&lt; Muestreo Datos" xr:uid="{1FA23444-1DAA-48E6-A175-A3F20A2DF838}"/>
    <hyperlink ref="A1" location="'Modelo Dominio Anémico'!A1" display="&lt;&lt; Modelo de dominio &gt;&gt;" xr:uid="{015DBF22-9F28-4A83-BFAB-17BBB77E5B15}"/>
    <hyperlink ref="B1" location="'Objetos Dominio'!A1" display="&lt;&lt; Objetos de dominio" xr:uid="{A27E409E-5C7F-44C8-AC1B-E77BA91773C5}"/>
    <hyperlink ref="C16" location="Aerolinea_Caracterización!A9" display="Aerolinea_Caracterización!A9" xr:uid="{21D8179B-AC72-4B4C-A6D2-4F04B4668CCA}"/>
    <hyperlink ref="C17" location="Aerolinea_Caracterización!A8" display="Aerolinea_Caracterización!A8" xr:uid="{7790F9A8-7846-4C2F-B9EB-84B6D989124E}"/>
    <hyperlink ref="V6" location="Objeto Dominio 2!A16" display="Registrar Información  Horario Sede" xr:uid="{01EA3DDD-A584-4895-B716-19DA58279B08}"/>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694EEAF8-805B-44F3-9C57-BDA41055C77D}">
          <x14:formula1>
            <xm:f>Valores!$D$2:$D$3</xm:f>
          </x14:formula1>
          <xm:sqref>M7:T10</xm:sqref>
        </x14:dataValidation>
        <x14:dataValidation type="list" allowBlank="1" showInputMessage="1" showErrorMessage="1" xr:uid="{2E09C92C-BA12-4AB4-A49F-D11FC5B95326}">
          <x14:formula1>
            <xm:f>Valores!$F$2:$F$4</xm:f>
          </x14:formula1>
          <xm:sqref>G7</xm:sqref>
        </x14:dataValidation>
        <x14:dataValidation type="list" allowBlank="1" showInputMessage="1" showErrorMessage="1" xr:uid="{45ACAC08-C29D-4F94-B445-679CDEFC241E}">
          <x14:formula1>
            <xm:f>Valores!$E$2:$E$23</xm:f>
          </x14:formula1>
          <xm:sqref>B7:B10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5939A-BA4E-448F-94E4-D742EF068B0F}">
  <sheetPr codeName="Hoja22">
    <tabColor rgb="FF0070C0"/>
  </sheetPr>
  <dimension ref="A1:F5"/>
  <sheetViews>
    <sheetView zoomScale="91" workbookViewId="0">
      <selection activeCell="B5" sqref="B5"/>
    </sheetView>
  </sheetViews>
  <sheetFormatPr defaultColWidth="10.85546875" defaultRowHeight="14.45"/>
  <cols>
    <col min="1" max="1" width="37.42578125" style="4" bestFit="1" customWidth="1"/>
    <col min="2" max="2" width="32.5703125" style="4" bestFit="1" customWidth="1"/>
    <col min="3" max="3" width="29.42578125" style="4" customWidth="1"/>
    <col min="4" max="4" width="27.5703125" style="4" customWidth="1"/>
    <col min="5" max="5" width="22.85546875" style="4" customWidth="1"/>
    <col min="6" max="6" width="66.42578125" style="4" customWidth="1"/>
    <col min="7" max="7" width="42.5703125" style="4" customWidth="1"/>
    <col min="8" max="8" width="33.5703125" style="4" bestFit="1" customWidth="1"/>
    <col min="9" max="9" width="57" style="4" customWidth="1"/>
    <col min="10" max="16384" width="10.85546875" style="4"/>
  </cols>
  <sheetData>
    <row r="1" spans="1:6" customFormat="1" ht="15" thickBot="1">
      <c r="A1" s="58" t="s">
        <v>46</v>
      </c>
      <c r="B1" s="69" t="s">
        <v>74</v>
      </c>
      <c r="C1" s="69" t="s">
        <v>145</v>
      </c>
    </row>
    <row r="2" spans="1:6" s="3" customFormat="1" ht="23.25">
      <c r="A2" s="8" t="s">
        <v>146</v>
      </c>
      <c r="B2" s="9" t="s">
        <v>147</v>
      </c>
      <c r="C2" s="9" t="s">
        <v>148</v>
      </c>
      <c r="D2" s="9" t="s">
        <v>149</v>
      </c>
      <c r="E2" s="10" t="s">
        <v>150</v>
      </c>
      <c r="F2" s="10" t="s">
        <v>151</v>
      </c>
    </row>
    <row r="3" spans="1:6" s="28" customFormat="1">
      <c r="A3" s="11" t="s">
        <v>133</v>
      </c>
      <c r="B3" s="5" t="s">
        <v>47</v>
      </c>
      <c r="C3" s="5" t="s">
        <v>152</v>
      </c>
      <c r="D3" s="5" t="s">
        <v>2</v>
      </c>
      <c r="E3" s="19" t="s">
        <v>153</v>
      </c>
      <c r="F3" s="19" t="s">
        <v>154</v>
      </c>
    </row>
    <row r="4" spans="1:6" ht="15" thickBot="1">
      <c r="A4" s="13" t="s">
        <v>155</v>
      </c>
      <c r="B4" s="106" t="s">
        <v>156</v>
      </c>
      <c r="C4" s="107" t="s">
        <v>157</v>
      </c>
      <c r="D4" s="107" t="s">
        <v>158</v>
      </c>
      <c r="E4" s="21" t="str">
        <f>_xlfn.CONCAT(C4)</f>
        <v>LA</v>
      </c>
      <c r="F4" s="21" t="str">
        <f>_xlfn.CONCAT(B4)</f>
        <v>Latam Airlines</v>
      </c>
    </row>
    <row r="5" spans="1:6" ht="15" thickBot="1">
      <c r="A5" s="12" t="s">
        <v>159</v>
      </c>
      <c r="B5" s="6" t="s">
        <v>160</v>
      </c>
      <c r="C5" s="107" t="s">
        <v>161</v>
      </c>
      <c r="D5" s="107" t="s">
        <v>158</v>
      </c>
      <c r="E5" s="21" t="str">
        <f>_xlfn.CONCAT(C5)</f>
        <v>AV</v>
      </c>
      <c r="F5" s="21" t="str">
        <f>_xlfn.CONCAT(C5,"-",B5)</f>
        <v>AV-Avianca</v>
      </c>
    </row>
  </sheetData>
  <hyperlinks>
    <hyperlink ref="C1" location="Aerolinea_Caracterización!A1" display="Caracterización objeto &gt;&gt;" xr:uid="{2E027BD2-A0C6-47E9-A767-85837E83BB0A}"/>
    <hyperlink ref="A1" location="'Modelo Dominio Anémico'!A1" display="&lt;&lt; Modelo de dominio &gt;&gt;" xr:uid="{2F7E4B0D-B8EB-4DC7-8F13-19FFB8FAEFB5}"/>
    <hyperlink ref="B1" location="'Objetos Dominio'!A1" display="&lt;&lt; Objetos de dominio" xr:uid="{84DA4175-E4F2-4256-ACBF-B83FC6CD0857}"/>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08E63-2D20-47DD-9F9B-D2E0B34037DA}">
  <sheetPr>
    <tabColor theme="7"/>
  </sheetPr>
  <dimension ref="A1:X39"/>
  <sheetViews>
    <sheetView workbookViewId="0">
      <pane xSplit="1" topLeftCell="B20" activePane="topRight" state="frozen"/>
      <selection pane="topRight" activeCell="A9" sqref="A9"/>
      <selection activeCell="A7" sqref="A7"/>
    </sheetView>
  </sheetViews>
  <sheetFormatPr defaultColWidth="10.85546875" defaultRowHeight="15"/>
  <cols>
    <col min="1" max="4" width="38.5703125" style="4" customWidth="1"/>
    <col min="5" max="5" width="23.140625" style="4" customWidth="1"/>
    <col min="6" max="6" width="20.140625" style="4" bestFit="1" customWidth="1"/>
    <col min="7" max="7" width="20.85546875" style="4" customWidth="1"/>
    <col min="8" max="8" width="32.42578125" style="4" bestFit="1" customWidth="1"/>
    <col min="9" max="9" width="29.42578125" style="4" bestFit="1" customWidth="1"/>
    <col min="10" max="10" width="40.5703125" style="4" customWidth="1"/>
    <col min="11" max="11" width="33.42578125" style="4" customWidth="1"/>
    <col min="12" max="12" width="11.42578125" style="4" bestFit="1"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51.7109375" style="4" customWidth="1"/>
    <col min="23" max="23" width="35.7109375" style="4" customWidth="1"/>
    <col min="24" max="24" width="27.140625" style="4" customWidth="1"/>
    <col min="25" max="16384" width="10.85546875" style="4"/>
  </cols>
  <sheetData>
    <row r="1" spans="1:24" customFormat="1">
      <c r="A1" s="58" t="s">
        <v>46</v>
      </c>
      <c r="B1" s="69" t="s">
        <v>74</v>
      </c>
      <c r="C1" s="69" t="s">
        <v>75</v>
      </c>
    </row>
    <row r="2" spans="1:24" s="60" customFormat="1">
      <c r="A2" s="59" t="str">
        <f>'Objetos Dominio'!$A$2</f>
        <v>Nombre</v>
      </c>
      <c r="B2" s="730" t="str">
        <f>'Objetos Dominio'!$A$4</f>
        <v>Aeropuerto</v>
      </c>
      <c r="C2" s="730"/>
      <c r="D2" s="730"/>
      <c r="E2" s="730"/>
      <c r="F2" s="730"/>
      <c r="G2" s="730"/>
      <c r="H2" s="730"/>
      <c r="I2" s="730"/>
      <c r="J2" s="730"/>
      <c r="K2" s="730"/>
      <c r="L2" s="730"/>
      <c r="M2" s="730"/>
      <c r="N2" s="730"/>
      <c r="O2" s="730"/>
      <c r="P2" s="730"/>
      <c r="Q2" s="730"/>
      <c r="R2" s="730"/>
      <c r="S2" s="730"/>
      <c r="T2" s="730"/>
      <c r="U2" s="730"/>
    </row>
    <row r="3" spans="1:24" s="60" customFormat="1" ht="14.1" customHeight="1">
      <c r="A3" s="59" t="str">
        <f>'Objetos Dominio'!$B$2</f>
        <v>Tipo</v>
      </c>
      <c r="B3" s="731" t="str">
        <f>'Objetos Dominio'!$B$7</f>
        <v>Referenciado</v>
      </c>
      <c r="C3" s="731"/>
      <c r="D3" s="731"/>
      <c r="E3" s="731"/>
      <c r="F3" s="731"/>
      <c r="G3" s="731"/>
      <c r="H3" s="731"/>
      <c r="I3" s="731"/>
      <c r="J3" s="731"/>
      <c r="K3" s="731"/>
      <c r="L3" s="731"/>
      <c r="M3" s="731"/>
      <c r="N3" s="731"/>
      <c r="O3" s="731"/>
      <c r="P3" s="731"/>
      <c r="Q3" s="731"/>
      <c r="R3" s="731"/>
      <c r="S3" s="731"/>
      <c r="T3" s="731"/>
      <c r="U3" s="731"/>
    </row>
    <row r="4" spans="1:24" s="60" customFormat="1" ht="14.1" customHeight="1">
      <c r="A4" s="59" t="str">
        <f>'Objetos Dominio'!$C$2</f>
        <v>Contexto Origen</v>
      </c>
      <c r="B4" s="731">
        <f>'Objetos Dominio'!$C$7</f>
        <v>0</v>
      </c>
      <c r="C4" s="731"/>
      <c r="D4" s="731"/>
      <c r="E4" s="731"/>
      <c r="F4" s="731"/>
      <c r="G4" s="731"/>
      <c r="H4" s="731"/>
      <c r="I4" s="731"/>
      <c r="J4" s="731"/>
      <c r="K4" s="731"/>
      <c r="L4" s="731"/>
      <c r="M4" s="731"/>
      <c r="N4" s="731"/>
      <c r="O4" s="731"/>
      <c r="P4" s="731"/>
      <c r="Q4" s="731"/>
      <c r="R4" s="731"/>
      <c r="S4" s="731"/>
      <c r="T4" s="731"/>
      <c r="U4" s="731"/>
    </row>
    <row r="5" spans="1:24" s="60" customFormat="1" ht="14.1" customHeight="1">
      <c r="A5" s="94" t="str">
        <f>'Objetos Dominio'!$D$2</f>
        <v>Descripción</v>
      </c>
      <c r="B5" s="732" t="str">
        <f>'Objetos Dominio'!$D$4</f>
        <v>Objeto de dominio que representa a cada uno de los aeropuertos que están ubicados dentro de una ciudad.</v>
      </c>
      <c r="C5" s="732"/>
      <c r="D5" s="732"/>
      <c r="E5" s="732"/>
      <c r="F5" s="732"/>
      <c r="G5" s="732"/>
      <c r="H5" s="732"/>
      <c r="I5" s="732"/>
      <c r="J5" s="732"/>
      <c r="K5" s="732"/>
      <c r="L5" s="732"/>
      <c r="M5" s="732"/>
      <c r="N5" s="732"/>
      <c r="O5" s="732"/>
      <c r="P5" s="732"/>
      <c r="Q5" s="732"/>
      <c r="R5" s="732"/>
      <c r="S5" s="732"/>
      <c r="T5" s="732"/>
      <c r="U5" s="732"/>
    </row>
    <row r="6" spans="1:24" s="60" customFormat="1">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580" t="str">
        <f>A35</f>
        <v>Consultar la Información del Aeropuerto</v>
      </c>
      <c r="W6" s="580" t="str">
        <f>A36</f>
        <v>Activar el aeropuerto</v>
      </c>
      <c r="X6" s="580" t="str">
        <f>A38</f>
        <v>Inactivar el aeropuerto</v>
      </c>
    </row>
    <row r="7" spans="1:24" s="60" customFormat="1" ht="42.95" customHeight="1">
      <c r="A7" s="63" t="str">
        <f>'Aeropuerto_Muestreo '!A3</f>
        <v>id</v>
      </c>
      <c r="B7" s="64" t="s">
        <v>17</v>
      </c>
      <c r="C7" s="64">
        <v>36</v>
      </c>
      <c r="D7" s="64">
        <v>36</v>
      </c>
      <c r="E7" s="64"/>
      <c r="F7" s="64"/>
      <c r="G7" s="64"/>
      <c r="H7" s="64"/>
      <c r="I7" s="64"/>
      <c r="J7" s="67" t="s">
        <v>162</v>
      </c>
      <c r="K7" s="64"/>
      <c r="L7" s="65"/>
      <c r="M7" s="66" t="s">
        <v>9</v>
      </c>
      <c r="N7" s="66" t="s">
        <v>9</v>
      </c>
      <c r="O7" s="66" t="s">
        <v>9</v>
      </c>
      <c r="P7" s="66" t="s">
        <v>14</v>
      </c>
      <c r="Q7" s="66" t="s">
        <v>9</v>
      </c>
      <c r="R7" s="66" t="s">
        <v>14</v>
      </c>
      <c r="S7" s="66" t="s">
        <v>14</v>
      </c>
      <c r="T7" s="66" t="s">
        <v>9</v>
      </c>
      <c r="U7" s="98" t="str">
        <f>'Aeropuerto_Muestreo '!A2</f>
        <v>Corresponde a un identificador único del aeropuerto del objeto de dominio Aeropuerto.</v>
      </c>
      <c r="V7" s="581" t="s">
        <v>97</v>
      </c>
      <c r="W7" s="582" t="s">
        <v>163</v>
      </c>
      <c r="X7" s="582" t="s">
        <v>98</v>
      </c>
    </row>
    <row r="8" spans="1:24" s="60" customFormat="1" ht="90.75" customHeight="1">
      <c r="A8" s="63" t="str">
        <f>'Aeropuerto_Muestreo '!B3</f>
        <v>Nombre</v>
      </c>
      <c r="B8" s="64" t="s">
        <v>17</v>
      </c>
      <c r="C8" s="64">
        <v>27</v>
      </c>
      <c r="D8" s="64">
        <v>50</v>
      </c>
      <c r="E8" s="64"/>
      <c r="F8" s="64"/>
      <c r="G8" s="64"/>
      <c r="H8" s="64"/>
      <c r="I8" s="64"/>
      <c r="J8" s="67" t="s">
        <v>99</v>
      </c>
      <c r="K8" s="64"/>
      <c r="L8" s="65"/>
      <c r="M8" s="66" t="s">
        <v>9</v>
      </c>
      <c r="N8" s="66" t="s">
        <v>9</v>
      </c>
      <c r="O8" s="66" t="s">
        <v>14</v>
      </c>
      <c r="P8" s="66" t="s">
        <v>14</v>
      </c>
      <c r="Q8" s="66" t="s">
        <v>9</v>
      </c>
      <c r="R8" s="66" t="s">
        <v>9</v>
      </c>
      <c r="S8" s="66" t="s">
        <v>14</v>
      </c>
      <c r="T8" s="66" t="s">
        <v>14</v>
      </c>
      <c r="U8" s="98" t="str">
        <f>'Aeropuerto_Muestreo '!B2</f>
        <v>Corresponde al nombre del aeropuerto .</v>
      </c>
      <c r="V8" s="581" t="s">
        <v>164</v>
      </c>
      <c r="W8" s="582" t="s">
        <v>165</v>
      </c>
      <c r="X8" s="582" t="s">
        <v>165</v>
      </c>
    </row>
    <row r="9" spans="1:24" s="60" customFormat="1" ht="60.75" customHeight="1">
      <c r="A9" s="63" t="str">
        <f>'Aeropuerto_Muestreo '!C3</f>
        <v>Código Iata</v>
      </c>
      <c r="B9" s="64" t="s">
        <v>17</v>
      </c>
      <c r="C9" s="89">
        <v>3</v>
      </c>
      <c r="D9" s="89">
        <v>3</v>
      </c>
      <c r="E9" s="89"/>
      <c r="F9" s="89"/>
      <c r="G9" s="89"/>
      <c r="H9" s="89"/>
      <c r="I9" s="89"/>
      <c r="J9" s="141" t="s">
        <v>166</v>
      </c>
      <c r="K9" s="89"/>
      <c r="L9" s="90"/>
      <c r="M9" s="91" t="s">
        <v>14</v>
      </c>
      <c r="N9" s="91" t="s">
        <v>14</v>
      </c>
      <c r="O9" s="91" t="s">
        <v>14</v>
      </c>
      <c r="P9" s="91" t="s">
        <v>14</v>
      </c>
      <c r="Q9" s="91" t="s">
        <v>9</v>
      </c>
      <c r="R9" s="91" t="s">
        <v>9</v>
      </c>
      <c r="S9" s="91" t="s">
        <v>14</v>
      </c>
      <c r="T9" s="91" t="s">
        <v>14</v>
      </c>
      <c r="U9" s="98" t="str">
        <f>'Aeropuerto_Muestreo '!C2</f>
        <v>Código que identifica al aeropuerto, ciudades de origen y destino</v>
      </c>
      <c r="V9" s="583" t="s">
        <v>167</v>
      </c>
      <c r="W9" s="582" t="s">
        <v>165</v>
      </c>
      <c r="X9" s="582" t="s">
        <v>165</v>
      </c>
    </row>
    <row r="10" spans="1:24" s="3" customFormat="1" ht="60.75" customHeight="1">
      <c r="A10" s="63" t="str">
        <f>'Aeropuerto_Muestreo '!D3</f>
        <v>Estado</v>
      </c>
      <c r="B10" s="111" t="s">
        <v>21</v>
      </c>
      <c r="C10" s="64">
        <v>6</v>
      </c>
      <c r="D10" s="64">
        <v>12</v>
      </c>
      <c r="E10" s="64"/>
      <c r="F10" s="64"/>
      <c r="G10" s="64"/>
      <c r="H10" s="64"/>
      <c r="I10" s="64"/>
      <c r="J10" s="67" t="s">
        <v>168</v>
      </c>
      <c r="K10" s="64"/>
      <c r="L10" s="65"/>
      <c r="M10" s="66" t="s">
        <v>14</v>
      </c>
      <c r="N10" s="66" t="s">
        <v>14</v>
      </c>
      <c r="O10" s="66" t="s">
        <v>14</v>
      </c>
      <c r="P10" s="66" t="s">
        <v>14</v>
      </c>
      <c r="Q10" s="66" t="s">
        <v>9</v>
      </c>
      <c r="R10" s="66" t="s">
        <v>9</v>
      </c>
      <c r="S10" s="66" t="s">
        <v>14</v>
      </c>
      <c r="T10" s="66" t="s">
        <v>14</v>
      </c>
      <c r="U10" s="98" t="str">
        <f>'Aeropuerto_Muestreo '!D2</f>
        <v>Indica el estado operativo de la aerolínea</v>
      </c>
      <c r="V10" s="584" t="s">
        <v>169</v>
      </c>
      <c r="W10" s="582" t="s">
        <v>98</v>
      </c>
      <c r="X10" s="582" t="s">
        <v>98</v>
      </c>
    </row>
    <row r="11" spans="1:24" s="60" customFormat="1" ht="77.25" customHeight="1">
      <c r="A11" s="63" t="str">
        <f>'Aeropuerto_Muestreo '!E3</f>
        <v>Tipo Aeropuerto</v>
      </c>
      <c r="B11" s="96" t="s">
        <v>27</v>
      </c>
      <c r="C11" s="64"/>
      <c r="D11" s="64"/>
      <c r="E11" s="64"/>
      <c r="F11" s="64"/>
      <c r="G11" s="64"/>
      <c r="H11" s="64"/>
      <c r="I11" s="64"/>
      <c r="J11" s="64"/>
      <c r="K11" s="64"/>
      <c r="L11" s="65"/>
      <c r="M11" s="66" t="s">
        <v>14</v>
      </c>
      <c r="N11" s="66" t="s">
        <v>14</v>
      </c>
      <c r="O11" s="66" t="s">
        <v>14</v>
      </c>
      <c r="P11" s="66" t="s">
        <v>14</v>
      </c>
      <c r="Q11" s="66" t="s">
        <v>9</v>
      </c>
      <c r="R11" s="66" t="s">
        <v>9</v>
      </c>
      <c r="S11" s="66" t="s">
        <v>14</v>
      </c>
      <c r="T11" s="66" t="s">
        <v>14</v>
      </c>
      <c r="U11" s="98" t="str">
        <f>'Aeropuerto_Muestreo '!E2</f>
        <v>Corresponde al tipo del aeropuerto</v>
      </c>
      <c r="V11" s="584" t="s">
        <v>170</v>
      </c>
      <c r="W11" s="582" t="s">
        <v>165</v>
      </c>
      <c r="X11" s="582" t="s">
        <v>165</v>
      </c>
    </row>
    <row r="12" spans="1:24" s="60" customFormat="1" ht="39" customHeight="1"/>
    <row r="13" spans="1:24" s="60" customFormat="1" ht="39" customHeight="1"/>
    <row r="20" spans="1:3">
      <c r="A20" s="733" t="s">
        <v>106</v>
      </c>
      <c r="B20" s="734"/>
      <c r="C20" s="735"/>
    </row>
    <row r="21" spans="1:3">
      <c r="A21" s="70" t="s">
        <v>107</v>
      </c>
      <c r="B21" s="71" t="s">
        <v>49</v>
      </c>
      <c r="C21" s="72" t="s">
        <v>108</v>
      </c>
    </row>
    <row r="22" spans="1:3">
      <c r="A22" s="755" t="s">
        <v>171</v>
      </c>
      <c r="B22" s="757" t="str">
        <f>'Aeropuerto_Muestreo '!F2</f>
        <v>El Código Iata de un aeropuerto solo puede estar una vez.</v>
      </c>
      <c r="C22" s="759" t="str">
        <f>A9</f>
        <v>Código Iata</v>
      </c>
    </row>
    <row r="23" spans="1:3">
      <c r="A23" s="756" t="s">
        <v>172</v>
      </c>
      <c r="B23" s="758"/>
      <c r="C23" s="760"/>
    </row>
    <row r="33" spans="1:11">
      <c r="A33" s="359" t="s">
        <v>111</v>
      </c>
      <c r="B33" s="363" t="s">
        <v>49</v>
      </c>
      <c r="C33" s="362"/>
      <c r="D33" s="362" t="s">
        <v>112</v>
      </c>
      <c r="E33" s="360"/>
      <c r="F33" s="361"/>
      <c r="G33" s="362" t="s">
        <v>113</v>
      </c>
      <c r="H33" s="751" t="s">
        <v>114</v>
      </c>
      <c r="I33" s="752"/>
      <c r="J33" s="753" t="s">
        <v>115</v>
      </c>
      <c r="K33" s="754"/>
    </row>
    <row r="34" spans="1:11">
      <c r="A34" s="364"/>
      <c r="B34" s="377"/>
      <c r="C34" s="362" t="s">
        <v>116</v>
      </c>
      <c r="D34" s="365" t="s">
        <v>117</v>
      </c>
      <c r="E34" s="363" t="s">
        <v>49</v>
      </c>
      <c r="F34" s="366" t="s">
        <v>77</v>
      </c>
      <c r="G34" s="363" t="s">
        <v>49</v>
      </c>
      <c r="H34" s="366" t="s">
        <v>118</v>
      </c>
      <c r="I34" s="360" t="s">
        <v>49</v>
      </c>
      <c r="J34" s="359" t="s">
        <v>119</v>
      </c>
      <c r="K34" s="366" t="s">
        <v>120</v>
      </c>
    </row>
    <row r="35" spans="1:11" ht="87" customHeight="1">
      <c r="A35" s="451" t="s">
        <v>173</v>
      </c>
      <c r="B35" s="479" t="s">
        <v>174</v>
      </c>
      <c r="C35" s="470" t="s">
        <v>175</v>
      </c>
      <c r="D35" s="468" t="s">
        <v>28</v>
      </c>
      <c r="E35" s="451" t="s">
        <v>124</v>
      </c>
      <c r="F35" s="466" t="s">
        <v>176</v>
      </c>
      <c r="G35" s="485" t="s">
        <v>177</v>
      </c>
      <c r="H35" s="467" t="s">
        <v>178</v>
      </c>
      <c r="I35" s="467" t="s">
        <v>128</v>
      </c>
      <c r="J35" s="449" t="s">
        <v>179</v>
      </c>
      <c r="K35" s="466" t="s">
        <v>130</v>
      </c>
    </row>
    <row r="36" spans="1:11" ht="101.25" customHeight="1">
      <c r="A36" s="486" t="s">
        <v>180</v>
      </c>
      <c r="B36" s="487" t="s">
        <v>181</v>
      </c>
      <c r="C36" s="452" t="s">
        <v>133</v>
      </c>
      <c r="D36" s="452" t="s">
        <v>17</v>
      </c>
      <c r="E36" s="488" t="s">
        <v>182</v>
      </c>
      <c r="F36" s="489"/>
      <c r="G36" s="490"/>
      <c r="H36" s="460" t="s">
        <v>135</v>
      </c>
      <c r="I36" s="467" t="s">
        <v>183</v>
      </c>
      <c r="J36" s="451" t="s">
        <v>129</v>
      </c>
      <c r="K36" s="491" t="s">
        <v>130</v>
      </c>
    </row>
    <row r="37" spans="1:11" ht="112.5" customHeight="1">
      <c r="A37" s="486"/>
      <c r="B37" s="487"/>
      <c r="C37" s="452" t="s">
        <v>2</v>
      </c>
      <c r="D37" s="464" t="s">
        <v>21</v>
      </c>
      <c r="E37" s="471" t="s">
        <v>184</v>
      </c>
      <c r="F37" s="492"/>
      <c r="G37" s="450"/>
      <c r="H37" s="479" t="s">
        <v>127</v>
      </c>
      <c r="I37" s="467" t="s">
        <v>185</v>
      </c>
      <c r="J37" s="451" t="s">
        <v>129</v>
      </c>
      <c r="K37" s="493" t="s">
        <v>130</v>
      </c>
    </row>
    <row r="38" spans="1:11" ht="53.25">
      <c r="A38" s="494" t="s">
        <v>186</v>
      </c>
      <c r="B38" s="475" t="s">
        <v>187</v>
      </c>
      <c r="C38" s="452" t="s">
        <v>142</v>
      </c>
      <c r="D38" s="464" t="s">
        <v>17</v>
      </c>
      <c r="E38" s="471" t="s">
        <v>188</v>
      </c>
      <c r="F38" s="495"/>
      <c r="G38" s="449"/>
      <c r="H38" s="475" t="s">
        <v>137</v>
      </c>
      <c r="I38" s="467" t="s">
        <v>189</v>
      </c>
      <c r="J38" s="451" t="s">
        <v>129</v>
      </c>
      <c r="K38" s="470" t="s">
        <v>130</v>
      </c>
    </row>
    <row r="39" spans="1:11" ht="87" customHeight="1">
      <c r="A39" s="457"/>
      <c r="B39" s="461"/>
      <c r="C39" s="452" t="s">
        <v>2</v>
      </c>
      <c r="D39" s="464" t="s">
        <v>21</v>
      </c>
      <c r="E39" s="453" t="s">
        <v>190</v>
      </c>
      <c r="F39" s="469"/>
      <c r="G39" s="461"/>
      <c r="H39" s="451" t="s">
        <v>127</v>
      </c>
      <c r="I39" s="467" t="s">
        <v>185</v>
      </c>
      <c r="J39" s="451" t="s">
        <v>129</v>
      </c>
      <c r="K39" s="466" t="s">
        <v>130</v>
      </c>
    </row>
  </sheetData>
  <mergeCells count="10">
    <mergeCell ref="H33:I33"/>
    <mergeCell ref="J33:K33"/>
    <mergeCell ref="A22:A23"/>
    <mergeCell ref="B22:B23"/>
    <mergeCell ref="C22:C23"/>
    <mergeCell ref="B2:U2"/>
    <mergeCell ref="B3:U3"/>
    <mergeCell ref="B4:U4"/>
    <mergeCell ref="B5:U5"/>
    <mergeCell ref="A20:C20"/>
  </mergeCells>
  <phoneticPr fontId="10" type="noConversion"/>
  <hyperlinks>
    <hyperlink ref="C1" location="'Aeropuerto_Muestreo '!A1" display="&lt;&lt; Muestreo Datos" xr:uid="{D124820A-A49F-4461-B87B-D5A3AFAB8CA8}"/>
    <hyperlink ref="A1" location="'Modelo Dominio Anémico'!A1" display="&lt;&lt; Modelo de dominio &gt;&gt;" xr:uid="{9192DB85-F769-4E43-BDD5-8E968A7302DF}"/>
    <hyperlink ref="B1" location="'Objetos Dominio'!A1" display="&lt;&lt; Objetos de dominio" xr:uid="{CFF261E2-AD20-4D2D-96E2-91357976C528}"/>
    <hyperlink ref="B11" location="TipoAeropuerto_Caracterización!A1" display="Tipo Aeropuerto" xr:uid="{9ACC1654-6FA1-4230-9201-78BE668CA0B1}"/>
    <hyperlink ref="B10" location="TipoAeropuerto_Caracterización!A1" display="Tipo Aeropuerto" xr:uid="{0C48AA27-5A19-4101-8900-8701DA31BCE3}"/>
    <hyperlink ref="V6" location="Objeto Dominio 2!A16" display="Registrar Información  Horario Sede" xr:uid="{FFC647EE-78E3-44C8-BF7E-F5F8039EEF22}"/>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3F744289-378C-46C9-A67B-7FC6DA52192F}">
          <x14:formula1>
            <xm:f>Valores!$F$2:$F$4</xm:f>
          </x14:formula1>
          <xm:sqref>G7</xm:sqref>
        </x14:dataValidation>
        <x14:dataValidation type="list" allowBlank="1" showInputMessage="1" showErrorMessage="1" xr:uid="{B114C618-D3B3-4EF8-9AAE-50CD17081B05}">
          <x14:formula1>
            <xm:f>Valores!$D$2:$D$3</xm:f>
          </x14:formula1>
          <xm:sqref>M7:T11</xm:sqref>
        </x14:dataValidation>
        <x14:dataValidation type="list" allowBlank="1" showInputMessage="1" showErrorMessage="1" xr:uid="{1770B907-B850-4A5F-ADB3-9486C670CE31}">
          <x14:formula1>
            <xm:f>Valores!$E$2:$E$23</xm:f>
          </x14:formula1>
          <xm:sqref>B7:B11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BB9E4-5981-4658-B8C2-0CE57CAE6B47}">
  <sheetPr>
    <tabColor theme="7"/>
  </sheetPr>
  <dimension ref="A1:F21"/>
  <sheetViews>
    <sheetView showWhiteSpace="0" zoomScale="112" zoomScaleNormal="112" zoomScaleSheetLayoutView="85" zoomScalePageLayoutView="55" workbookViewId="0">
      <selection activeCell="F4" sqref="F4"/>
    </sheetView>
  </sheetViews>
  <sheetFormatPr defaultColWidth="10.85546875" defaultRowHeight="15" customHeight="1"/>
  <cols>
    <col min="1" max="1" width="43.5703125" style="4" customWidth="1"/>
    <col min="2" max="2" width="31.28515625" style="4" customWidth="1"/>
    <col min="3" max="3" width="14" style="4" customWidth="1"/>
    <col min="4" max="4" width="15.5703125" style="4" customWidth="1"/>
    <col min="5" max="5" width="18.85546875" style="4" customWidth="1"/>
    <col min="6" max="6" width="34.140625" style="4" customWidth="1"/>
    <col min="7" max="16384" width="10.85546875" style="4"/>
  </cols>
  <sheetData>
    <row r="1" spans="1:6" customFormat="1">
      <c r="A1" s="58" t="s">
        <v>46</v>
      </c>
      <c r="B1" s="69" t="s">
        <v>74</v>
      </c>
      <c r="C1" s="69"/>
      <c r="D1" s="69"/>
    </row>
    <row r="2" spans="1:6" s="1" customFormat="1" ht="57.75">
      <c r="A2" s="22" t="s">
        <v>191</v>
      </c>
      <c r="B2" s="22" t="s">
        <v>192</v>
      </c>
      <c r="C2" s="23" t="s">
        <v>193</v>
      </c>
      <c r="D2" s="9" t="s">
        <v>149</v>
      </c>
      <c r="E2" s="23" t="s">
        <v>194</v>
      </c>
      <c r="F2" s="24" t="s">
        <v>195</v>
      </c>
    </row>
    <row r="3" spans="1:6" s="28" customFormat="1">
      <c r="A3" s="25" t="s">
        <v>142</v>
      </c>
      <c r="B3" s="102" t="s">
        <v>47</v>
      </c>
      <c r="C3" s="151" t="s">
        <v>196</v>
      </c>
      <c r="D3" s="151" t="s">
        <v>2</v>
      </c>
      <c r="E3" s="103" t="s">
        <v>27</v>
      </c>
      <c r="F3" s="124" t="s">
        <v>197</v>
      </c>
    </row>
    <row r="4" spans="1:6">
      <c r="A4" s="45" t="s">
        <v>198</v>
      </c>
      <c r="B4" s="6" t="s">
        <v>199</v>
      </c>
      <c r="C4" s="151" t="s">
        <v>200</v>
      </c>
      <c r="D4" s="151" t="s">
        <v>8</v>
      </c>
      <c r="E4" s="103" t="str">
        <f>TipoAeropuerto_Muestreo!C5</f>
        <v>Internacional</v>
      </c>
      <c r="F4" s="125" t="str">
        <f t="shared" ref="F4:F21" si="0">_xlfn.CONCAT(C4)</f>
        <v>MDE</v>
      </c>
    </row>
    <row r="5" spans="1:6">
      <c r="A5" s="45" t="s">
        <v>201</v>
      </c>
      <c r="B5" s="6" t="s">
        <v>202</v>
      </c>
      <c r="C5" s="151" t="s">
        <v>203</v>
      </c>
      <c r="D5" s="151" t="s">
        <v>8</v>
      </c>
      <c r="E5" s="103" t="str">
        <f>TipoAeropuerto_Muestreo!C5</f>
        <v>Internacional</v>
      </c>
      <c r="F5" s="125" t="str">
        <f t="shared" si="0"/>
        <v>BOG</v>
      </c>
    </row>
    <row r="6" spans="1:6">
      <c r="A6" s="45" t="s">
        <v>204</v>
      </c>
      <c r="B6" s="6" t="s">
        <v>205</v>
      </c>
      <c r="C6" s="151" t="s">
        <v>206</v>
      </c>
      <c r="D6" s="151" t="s">
        <v>8</v>
      </c>
      <c r="E6" s="103" t="str">
        <f>TipoAeropuerto_Muestreo!C4</f>
        <v>Nacional</v>
      </c>
      <c r="F6" s="125" t="str">
        <f t="shared" si="0"/>
        <v>EOH</v>
      </c>
    </row>
    <row r="7" spans="1:6">
      <c r="A7" s="45" t="s">
        <v>207</v>
      </c>
      <c r="B7" s="6" t="s">
        <v>208</v>
      </c>
      <c r="C7" s="151" t="s">
        <v>209</v>
      </c>
      <c r="D7" s="151" t="s">
        <v>8</v>
      </c>
      <c r="E7" s="103" t="str">
        <f>TipoAeropuerto_Muestreo!$C$5</f>
        <v>Internacional</v>
      </c>
      <c r="F7" s="125" t="str">
        <f t="shared" si="0"/>
        <v>CLO</v>
      </c>
    </row>
    <row r="8" spans="1:6">
      <c r="A8" s="45" t="s">
        <v>210</v>
      </c>
      <c r="B8" s="6" t="s">
        <v>211</v>
      </c>
      <c r="C8" s="151" t="s">
        <v>212</v>
      </c>
      <c r="D8" s="151" t="s">
        <v>8</v>
      </c>
      <c r="E8" s="103" t="str">
        <f>TipoAeropuerto_Muestreo!$C$5</f>
        <v>Internacional</v>
      </c>
      <c r="F8" s="125" t="str">
        <f t="shared" si="0"/>
        <v>BAQ</v>
      </c>
    </row>
    <row r="9" spans="1:6">
      <c r="A9" s="45" t="s">
        <v>213</v>
      </c>
      <c r="B9" s="6" t="s">
        <v>214</v>
      </c>
      <c r="C9" s="151" t="s">
        <v>215</v>
      </c>
      <c r="D9" s="151" t="s">
        <v>8</v>
      </c>
      <c r="E9" s="103" t="str">
        <f>TipoAeropuerto_Muestreo!$C$5</f>
        <v>Internacional</v>
      </c>
      <c r="F9" s="125" t="str">
        <f t="shared" si="0"/>
        <v>CTG</v>
      </c>
    </row>
    <row r="10" spans="1:6">
      <c r="A10" s="45" t="s">
        <v>216</v>
      </c>
      <c r="B10" s="6" t="s">
        <v>217</v>
      </c>
      <c r="C10" s="151" t="s">
        <v>218</v>
      </c>
      <c r="D10" s="151" t="s">
        <v>8</v>
      </c>
      <c r="E10" s="103" t="str">
        <f>TipoAeropuerto_Muestreo!$C$5</f>
        <v>Internacional</v>
      </c>
      <c r="F10" s="125" t="str">
        <f t="shared" si="0"/>
        <v>SMR</v>
      </c>
    </row>
    <row r="11" spans="1:6">
      <c r="A11" s="45" t="s">
        <v>219</v>
      </c>
      <c r="B11" s="6" t="s">
        <v>220</v>
      </c>
      <c r="C11" s="151" t="s">
        <v>221</v>
      </c>
      <c r="D11" s="151" t="s">
        <v>8</v>
      </c>
      <c r="E11" s="103" t="str">
        <f>TipoAeropuerto_Muestreo!$C$5</f>
        <v>Internacional</v>
      </c>
      <c r="F11" s="125" t="str">
        <f t="shared" si="0"/>
        <v>PEI</v>
      </c>
    </row>
    <row r="12" spans="1:6">
      <c r="A12" s="45" t="s">
        <v>222</v>
      </c>
      <c r="B12" s="6" t="s">
        <v>223</v>
      </c>
      <c r="C12" s="151" t="s">
        <v>224</v>
      </c>
      <c r="D12" s="151" t="s">
        <v>8</v>
      </c>
      <c r="E12" s="103" t="str">
        <f>TipoAeropuerto_Muestreo!$C$5</f>
        <v>Internacional</v>
      </c>
      <c r="F12" s="125" t="str">
        <f t="shared" si="0"/>
        <v>LET</v>
      </c>
    </row>
    <row r="13" spans="1:6">
      <c r="A13" s="45" t="s">
        <v>225</v>
      </c>
      <c r="B13" s="6" t="s">
        <v>226</v>
      </c>
      <c r="C13" s="151" t="s">
        <v>227</v>
      </c>
      <c r="D13" s="151" t="s">
        <v>8</v>
      </c>
      <c r="E13" s="103" t="str">
        <f>TipoAeropuerto_Muestreo!$C$5</f>
        <v>Internacional</v>
      </c>
      <c r="F13" s="125" t="str">
        <f t="shared" si="0"/>
        <v>VUP</v>
      </c>
    </row>
    <row r="14" spans="1:6" ht="30.75" customHeight="1">
      <c r="A14" s="45" t="s">
        <v>228</v>
      </c>
      <c r="B14" s="6" t="s">
        <v>229</v>
      </c>
      <c r="C14" s="151" t="s">
        <v>230</v>
      </c>
      <c r="D14" s="151" t="s">
        <v>8</v>
      </c>
      <c r="E14" s="103" t="str">
        <f>TipoAeropuerto_Muestreo!$C$5</f>
        <v>Internacional</v>
      </c>
      <c r="F14" s="125" t="str">
        <f t="shared" si="0"/>
        <v>CUC</v>
      </c>
    </row>
    <row r="15" spans="1:6">
      <c r="A15" s="45" t="s">
        <v>231</v>
      </c>
      <c r="B15" s="6" t="s">
        <v>232</v>
      </c>
      <c r="C15" s="151" t="s">
        <v>233</v>
      </c>
      <c r="D15" s="151" t="s">
        <v>8</v>
      </c>
      <c r="E15" s="103" t="str">
        <f>TipoAeropuerto_Muestreo!$C$5</f>
        <v>Internacional</v>
      </c>
      <c r="F15" s="125" t="str">
        <f t="shared" si="0"/>
        <v>BGA</v>
      </c>
    </row>
    <row r="16" spans="1:6">
      <c r="A16" s="45" t="s">
        <v>234</v>
      </c>
      <c r="B16" s="6" t="s">
        <v>235</v>
      </c>
      <c r="C16" s="151" t="s">
        <v>236</v>
      </c>
      <c r="D16" s="151" t="s">
        <v>8</v>
      </c>
      <c r="E16" s="103" t="str">
        <f>TipoAeropuerto_Muestreo!$C$4</f>
        <v>Nacional</v>
      </c>
      <c r="F16" s="125" t="str">
        <f t="shared" si="0"/>
        <v>PSO</v>
      </c>
    </row>
    <row r="17" spans="1:6">
      <c r="A17" s="45" t="s">
        <v>237</v>
      </c>
      <c r="B17" s="6" t="s">
        <v>238</v>
      </c>
      <c r="C17" s="151" t="s">
        <v>239</v>
      </c>
      <c r="D17" s="151" t="s">
        <v>8</v>
      </c>
      <c r="E17" s="103" t="str">
        <f>TipoAeropuerto_Muestreo!$C$5</f>
        <v>Internacional</v>
      </c>
      <c r="F17" s="125" t="str">
        <f t="shared" si="0"/>
        <v>EYP</v>
      </c>
    </row>
    <row r="18" spans="1:6">
      <c r="A18" s="45" t="s">
        <v>240</v>
      </c>
      <c r="B18" s="6" t="s">
        <v>241</v>
      </c>
      <c r="C18" s="151" t="s">
        <v>242</v>
      </c>
      <c r="D18" s="151" t="s">
        <v>8</v>
      </c>
      <c r="E18" s="103" t="str">
        <f>TipoAeropuerto_Muestreo!$C$5</f>
        <v>Internacional</v>
      </c>
      <c r="F18" s="125" t="str">
        <f t="shared" si="0"/>
        <v>AXM</v>
      </c>
    </row>
    <row r="19" spans="1:6">
      <c r="A19" s="45" t="s">
        <v>243</v>
      </c>
      <c r="B19" s="6" t="s">
        <v>244</v>
      </c>
      <c r="C19" s="151" t="s">
        <v>245</v>
      </c>
      <c r="D19" s="151" t="s">
        <v>8</v>
      </c>
      <c r="E19" s="103" t="str">
        <f>TipoAeropuerto_Muestreo!$C$4</f>
        <v>Nacional</v>
      </c>
      <c r="F19" s="125" t="str">
        <f t="shared" si="0"/>
        <v>MTR</v>
      </c>
    </row>
    <row r="20" spans="1:6">
      <c r="A20" s="45" t="s">
        <v>246</v>
      </c>
      <c r="B20" s="6" t="s">
        <v>247</v>
      </c>
      <c r="C20" s="151" t="s">
        <v>248</v>
      </c>
      <c r="D20" s="151" t="s">
        <v>8</v>
      </c>
      <c r="E20" s="103" t="str">
        <f>TipoAeropuerto_Muestreo!$C$5</f>
        <v>Internacional</v>
      </c>
      <c r="F20" s="125" t="str">
        <f t="shared" si="0"/>
        <v>ADZ</v>
      </c>
    </row>
    <row r="21" spans="1:6">
      <c r="A21" s="45" t="s">
        <v>249</v>
      </c>
      <c r="B21" s="6" t="s">
        <v>250</v>
      </c>
      <c r="C21" s="151" t="s">
        <v>251</v>
      </c>
      <c r="D21" s="151" t="s">
        <v>8</v>
      </c>
      <c r="E21" s="103" t="str">
        <f>TipoAeropuerto_Muestreo!$C$5</f>
        <v>Internacional</v>
      </c>
      <c r="F21" s="125" t="str">
        <f t="shared" si="0"/>
        <v>MIA</v>
      </c>
    </row>
  </sheetData>
  <phoneticPr fontId="10" type="noConversion"/>
  <hyperlinks>
    <hyperlink ref="A1" location="'Modelo Dominio Anémico'!A1" display="&lt;&lt; Modelo de dominio &gt;&gt;" xr:uid="{CE0A8607-9A70-4DF8-A59D-07066414EAD8}"/>
    <hyperlink ref="B1" location="'Objetos Dominio'!A1" display="&lt;&lt; Objetos de dominio" xr:uid="{2C3728E7-4018-444C-AC8A-400C9B8E43B5}"/>
    <hyperlink ref="E3" location="TipoAeropuerto_Muestreo!A1" display="Tipo Aeropuerto" xr:uid="{CD0E2D10-26D6-4A2C-BC48-0D1067ACA609}"/>
    <hyperlink ref="E5" location="TipoAeropuerto_Muestreo!A5" display="TipoAeropuerto_Muestreo!A5" xr:uid="{B10244AB-68D6-4CC1-81A0-D181BD74EA63}"/>
    <hyperlink ref="E4" location="TipoAeropuerto_Muestreo!A5" display="TipoAeropuerto_Muestreo!A5" xr:uid="{5CBD7805-E6B5-45C5-98E7-990505BF9D4A}"/>
    <hyperlink ref="E21" location="TipoAeropuerto_Muestreo!A5" display="TipoAeropuerto_Muestreo!A5" xr:uid="{26D2ABD1-FFE3-448A-95A7-C4C635D0260E}"/>
    <hyperlink ref="E20" location="TipoAeropuerto_Muestreo!A5" display="TipoAeropuerto_Muestreo!A5" xr:uid="{312E2FD4-7252-44F1-BC11-1611912FEBB5}"/>
    <hyperlink ref="E19" location="TipoAeropuerto_Muestreo!A4" display="TipoAeropuerto_Muestreo!A4" xr:uid="{939DAEC3-1F23-47A9-9BF8-8BA20812C8BD}"/>
    <hyperlink ref="E18" location="TipoAeropuerto_Muestreo!A5" display="TipoAeropuerto_Muestreo!A5" xr:uid="{623D3D61-9C31-43F8-B669-35E331DEA4AA}"/>
    <hyperlink ref="E17" location="TipoAeropuerto_Muestreo!A5" display="TipoAeropuerto_Muestreo!A5" xr:uid="{BC8F5DA2-1620-40B4-BB4A-6D56D8EF8BBA}"/>
    <hyperlink ref="E16" location="TipoAeropuerto_Muestreo!A5" display="TipoAeropuerto_Muestreo!A5" xr:uid="{404F7430-2F4D-4BC8-BB73-497E8255892E}"/>
    <hyperlink ref="E7" location="TipoAeropuerto_Muestreo!A5" display="TipoAeropuerto_Muestreo!A5" xr:uid="{F3C96881-9EF1-4CC6-990D-287990FDA1A8}"/>
    <hyperlink ref="E6" location="TipoAeropuerto_Muestreo!A4" display="TipoAeropuerto_Muestreo!A4" xr:uid="{13A28305-D4FD-43E1-870D-5748806360C1}"/>
    <hyperlink ref="E8" location="TipoAeropuerto_Muestreo!A5" display="TipoAeropuerto_Muestreo!A5" xr:uid="{E881E507-B742-44D2-B487-22876C14B733}"/>
    <hyperlink ref="E9" location="TipoAeropuerto_Muestreo!A5" display="TipoAeropuerto_Muestreo!A5" xr:uid="{105F5C37-1F45-4BA7-9641-A8D91C8A5266}"/>
    <hyperlink ref="E10" location="TipoAeropuerto_Muestreo!A5" display="TipoAeropuerto_Muestreo!A5" xr:uid="{778508C9-B7B7-4A95-8805-C456A3297663}"/>
    <hyperlink ref="E11" location="TipoAeropuerto_Muestreo!A5" display="TipoAeropuerto_Muestreo!A5" xr:uid="{7205E36A-4023-45A2-9FF9-D5C01A9F8521}"/>
    <hyperlink ref="E12" location="TipoAeropuerto_Muestreo!A5" display="TipoAeropuerto_Muestreo!A5" xr:uid="{DBF04CE6-68A2-47F1-974B-B32F994415D1}"/>
    <hyperlink ref="E13" location="TipoAeropuerto_Muestreo!A5" display="TipoAeropuerto_Muestreo!A5" xr:uid="{DF8D8FDA-FFAB-4ADC-B1F6-D1FC217BE0D0}"/>
    <hyperlink ref="E14" location="TipoAeropuerto_Muestreo!A5" display="TipoAeropuerto_Muestreo!A5" xr:uid="{773E7928-F354-4078-B0BF-A56F29281075}"/>
    <hyperlink ref="E15" location="TipoAeropuerto_Muestreo!A5" display="TipoAeropuerto_Muestreo!A5" xr:uid="{8A828F85-9529-4B4F-B357-FB8833B2B2F4}"/>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45401-7CF0-4584-A6E0-478BF9E52191}">
  <sheetPr>
    <tabColor theme="0" tint="-0.34998626667073579"/>
  </sheetPr>
  <dimension ref="A1:AA35"/>
  <sheetViews>
    <sheetView zoomScaleNormal="100" workbookViewId="0">
      <pane xSplit="1" topLeftCell="B23" activePane="topRight" state="frozen"/>
      <selection pane="topRight" activeCell="B9" sqref="B9"/>
      <selection activeCell="A7" sqref="A7"/>
    </sheetView>
  </sheetViews>
  <sheetFormatPr defaultColWidth="10.85546875" defaultRowHeight="15"/>
  <cols>
    <col min="1" max="1" width="29.28515625" style="4" customWidth="1"/>
    <col min="2" max="4" width="38.5703125" style="4" customWidth="1"/>
    <col min="5" max="5" width="38.42578125" style="4" customWidth="1"/>
    <col min="6" max="6" width="20.140625" style="4" bestFit="1" customWidth="1"/>
    <col min="7" max="7" width="20.7109375" style="4" customWidth="1"/>
    <col min="8" max="8" width="28.140625" style="4" customWidth="1"/>
    <col min="9" max="9" width="31.5703125" style="4" customWidth="1"/>
    <col min="10" max="10" width="40.5703125" style="4" customWidth="1"/>
    <col min="11" max="11" width="33.42578125" style="4" customWidth="1"/>
    <col min="12" max="12" width="11.42578125" style="4" bestFit="1"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50.5703125" style="4" customWidth="1"/>
    <col min="23" max="23" width="39.28515625" style="4" customWidth="1"/>
    <col min="24" max="24" width="35.140625" style="4" customWidth="1"/>
    <col min="25" max="25" width="30.42578125" style="4" customWidth="1"/>
    <col min="26" max="26" width="25.42578125" style="4" customWidth="1"/>
    <col min="27" max="27" width="22" style="4" customWidth="1"/>
    <col min="28" max="16384" width="10.85546875" style="4"/>
  </cols>
  <sheetData>
    <row r="1" spans="1:27" customFormat="1">
      <c r="A1" s="58" t="s">
        <v>46</v>
      </c>
      <c r="B1" s="69" t="s">
        <v>74</v>
      </c>
      <c r="C1" s="69" t="s">
        <v>75</v>
      </c>
    </row>
    <row r="2" spans="1:27" s="60" customFormat="1">
      <c r="A2" s="59" t="str">
        <f>'Objetos Dominio'!$A$2</f>
        <v>Nombre</v>
      </c>
      <c r="B2" s="730" t="str">
        <f>'Objetos Dominio'!A5</f>
        <v>Bitácora Diaria</v>
      </c>
      <c r="C2" s="730"/>
      <c r="D2" s="730"/>
      <c r="E2" s="730"/>
      <c r="F2" s="730"/>
      <c r="G2" s="730"/>
      <c r="H2" s="730"/>
      <c r="I2" s="730"/>
      <c r="J2" s="730"/>
      <c r="K2" s="730"/>
      <c r="L2" s="730"/>
      <c r="M2" s="730"/>
      <c r="N2" s="730"/>
      <c r="O2" s="730"/>
      <c r="P2" s="730"/>
      <c r="Q2" s="730"/>
      <c r="R2" s="730"/>
      <c r="S2" s="730"/>
      <c r="T2" s="730"/>
      <c r="U2" s="730"/>
    </row>
    <row r="3" spans="1:27" s="60" customFormat="1" ht="14.1" customHeight="1">
      <c r="A3" s="59" t="str">
        <f>'Objetos Dominio'!$B$2</f>
        <v>Tipo</v>
      </c>
      <c r="B3" s="731" t="str">
        <f>'Objetos Dominio'!$B$5</f>
        <v>Referenciado</v>
      </c>
      <c r="C3" s="731"/>
      <c r="D3" s="731"/>
      <c r="E3" s="731"/>
      <c r="F3" s="731"/>
      <c r="G3" s="731"/>
      <c r="H3" s="731"/>
      <c r="I3" s="731"/>
      <c r="J3" s="731"/>
      <c r="K3" s="731"/>
      <c r="L3" s="731"/>
      <c r="M3" s="731"/>
      <c r="N3" s="731"/>
      <c r="O3" s="731"/>
      <c r="P3" s="731"/>
      <c r="Q3" s="731"/>
      <c r="R3" s="731"/>
      <c r="S3" s="731"/>
      <c r="T3" s="731"/>
      <c r="U3" s="731"/>
    </row>
    <row r="4" spans="1:27" s="60" customFormat="1" ht="14.1" customHeight="1">
      <c r="A4" s="59" t="str">
        <f>'Objetos Dominio'!$C$2</f>
        <v>Contexto Origen</v>
      </c>
      <c r="B4" s="731">
        <f>'Objetos Dominio'!$C$5</f>
        <v>0</v>
      </c>
      <c r="C4" s="731"/>
      <c r="D4" s="731"/>
      <c r="E4" s="731"/>
      <c r="F4" s="731"/>
      <c r="G4" s="731"/>
      <c r="H4" s="731"/>
      <c r="I4" s="731"/>
      <c r="J4" s="731"/>
      <c r="K4" s="731"/>
      <c r="L4" s="731"/>
      <c r="M4" s="731"/>
      <c r="N4" s="731"/>
      <c r="O4" s="731"/>
      <c r="P4" s="731"/>
      <c r="Q4" s="731"/>
      <c r="R4" s="731"/>
      <c r="S4" s="731"/>
      <c r="T4" s="731"/>
      <c r="U4" s="731"/>
    </row>
    <row r="5" spans="1:27" s="60" customFormat="1" ht="14.1" customHeight="1">
      <c r="A5" s="59" t="str">
        <f>'Objetos Dominio'!$D$2</f>
        <v>Descripción</v>
      </c>
      <c r="B5" s="731" t="str">
        <f>'Objetos Dominio'!$D$5</f>
        <v>Objeto de dominio que representa la fecha, el empleado y pagina del libro sobre el vuelo realizado.</v>
      </c>
      <c r="C5" s="731"/>
      <c r="D5" s="731"/>
      <c r="E5" s="731"/>
      <c r="F5" s="731"/>
      <c r="G5" s="731"/>
      <c r="H5" s="731"/>
      <c r="I5" s="731"/>
      <c r="J5" s="731"/>
      <c r="K5" s="731"/>
      <c r="L5" s="731"/>
      <c r="M5" s="731"/>
      <c r="N5" s="731"/>
      <c r="O5" s="731"/>
      <c r="P5" s="731"/>
      <c r="Q5" s="731"/>
      <c r="R5" s="731"/>
      <c r="S5" s="731"/>
      <c r="T5" s="731"/>
      <c r="U5" s="731"/>
    </row>
    <row r="6" spans="1:27" s="60" customFormat="1">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593" t="s">
        <v>49</v>
      </c>
      <c r="V6" s="608" t="str">
        <f>A21</f>
        <v>Consultar la Información de la Bitácora Diaria</v>
      </c>
      <c r="W6" s="609" t="str">
        <f>A23</f>
        <v>Agregar la  Información de la Bitácora Diaria</v>
      </c>
      <c r="X6" s="609" t="str">
        <f>A27</f>
        <v>Editar Información Bitácora Diaria</v>
      </c>
      <c r="Y6" s="609" t="str">
        <f>A30</f>
        <v>Editar la Informacion de la Bitacora Diaria</v>
      </c>
      <c r="Z6" s="610" t="str">
        <f>A32</f>
        <v>Activar la Bitácora Diaria</v>
      </c>
      <c r="AA6" s="611" t="str">
        <f>A34</f>
        <v>Inactivar la Bitácora Diaria</v>
      </c>
    </row>
    <row r="7" spans="1:27" s="60" customFormat="1" ht="53.45" customHeight="1">
      <c r="A7" s="82" t="str">
        <f>'BitacoraDiaria_Muestreo '!A3</f>
        <v>Id</v>
      </c>
      <c r="B7" s="64" t="s">
        <v>17</v>
      </c>
      <c r="C7" s="64">
        <v>36</v>
      </c>
      <c r="D7" s="64">
        <v>36</v>
      </c>
      <c r="E7" s="64"/>
      <c r="F7" s="64"/>
      <c r="G7" s="64"/>
      <c r="H7" s="64"/>
      <c r="I7" s="64"/>
      <c r="J7" s="67" t="s">
        <v>252</v>
      </c>
      <c r="K7" s="64"/>
      <c r="L7" s="65"/>
      <c r="M7" s="66" t="s">
        <v>9</v>
      </c>
      <c r="N7" s="66" t="s">
        <v>9</v>
      </c>
      <c r="O7" s="66" t="s">
        <v>9</v>
      </c>
      <c r="P7" s="66" t="s">
        <v>14</v>
      </c>
      <c r="Q7" s="66" t="s">
        <v>9</v>
      </c>
      <c r="R7" s="66" t="s">
        <v>14</v>
      </c>
      <c r="S7" s="66" t="s">
        <v>14</v>
      </c>
      <c r="T7" s="66" t="s">
        <v>9</v>
      </c>
      <c r="U7" s="616" t="str">
        <f>'BitacoraDiaria_Muestreo '!A2</f>
        <v xml:space="preserve">Corresponde a un identificador único de la cuenta dentro del objeto de dominio </v>
      </c>
      <c r="V7" s="612" t="s">
        <v>97</v>
      </c>
      <c r="W7" s="582" t="s">
        <v>98</v>
      </c>
      <c r="X7" s="582" t="s">
        <v>253</v>
      </c>
      <c r="Y7" s="582" t="s">
        <v>98</v>
      </c>
      <c r="Z7" s="582" t="s">
        <v>98</v>
      </c>
      <c r="AA7" s="582" t="s">
        <v>98</v>
      </c>
    </row>
    <row r="8" spans="1:27" s="60" customFormat="1" ht="45.75">
      <c r="A8" s="82" t="str">
        <f>'BitacoraDiaria_Muestreo '!B3</f>
        <v>Fecha</v>
      </c>
      <c r="B8" s="64" t="s">
        <v>22</v>
      </c>
      <c r="C8" s="64">
        <v>10</v>
      </c>
      <c r="D8" s="64">
        <v>10</v>
      </c>
      <c r="E8" s="64"/>
      <c r="F8" s="64"/>
      <c r="G8" s="64"/>
      <c r="H8" s="64"/>
      <c r="I8" s="64"/>
      <c r="J8" s="67"/>
      <c r="K8" s="64"/>
      <c r="L8" s="65"/>
      <c r="M8" s="66" t="s">
        <v>9</v>
      </c>
      <c r="N8" s="66" t="s">
        <v>9</v>
      </c>
      <c r="O8" s="66" t="s">
        <v>14</v>
      </c>
      <c r="P8" s="66" t="s">
        <v>14</v>
      </c>
      <c r="Q8" s="66" t="s">
        <v>9</v>
      </c>
      <c r="R8" s="66" t="s">
        <v>9</v>
      </c>
      <c r="S8" s="66" t="s">
        <v>14</v>
      </c>
      <c r="T8" s="66" t="s">
        <v>14</v>
      </c>
      <c r="U8" s="616" t="str">
        <f>'BitacoraDiaria_Muestreo '!B2</f>
        <v xml:space="preserve">Corresponde a la fecha de la bitácora </v>
      </c>
      <c r="V8" s="612" t="s">
        <v>164</v>
      </c>
      <c r="W8" s="582" t="s">
        <v>98</v>
      </c>
      <c r="X8" s="582" t="s">
        <v>254</v>
      </c>
      <c r="Y8" s="582" t="s">
        <v>255</v>
      </c>
      <c r="Z8" s="582" t="s">
        <v>165</v>
      </c>
      <c r="AA8" s="582" t="s">
        <v>165</v>
      </c>
    </row>
    <row r="9" spans="1:27" s="60" customFormat="1" ht="78" customHeight="1">
      <c r="A9" s="82" t="str">
        <f>'BitacoraDiaria_Muestreo '!C3</f>
        <v>Empleado Aerolínea</v>
      </c>
      <c r="B9" s="96" t="s">
        <v>40</v>
      </c>
      <c r="C9" s="64"/>
      <c r="D9" s="64"/>
      <c r="E9" s="64"/>
      <c r="F9" s="64"/>
      <c r="G9" s="64"/>
      <c r="H9" s="64"/>
      <c r="I9" s="64"/>
      <c r="J9" s="67"/>
      <c r="K9" s="64"/>
      <c r="L9" s="65"/>
      <c r="M9" s="66" t="s">
        <v>9</v>
      </c>
      <c r="N9" s="66" t="s">
        <v>9</v>
      </c>
      <c r="O9" s="66" t="s">
        <v>14</v>
      </c>
      <c r="P9" s="66" t="s">
        <v>14</v>
      </c>
      <c r="Q9" s="66" t="s">
        <v>9</v>
      </c>
      <c r="R9" s="66" t="s">
        <v>9</v>
      </c>
      <c r="S9" s="66" t="s">
        <v>14</v>
      </c>
      <c r="T9" s="66" t="s">
        <v>14</v>
      </c>
      <c r="U9" s="616" t="str">
        <f>'BitacoraDiaria_Muestreo '!C2</f>
        <v>Corresponde al nombre del empleado de la aerolínea que llena la bitácora</v>
      </c>
      <c r="V9" s="591" t="s">
        <v>256</v>
      </c>
      <c r="W9" s="582" t="s">
        <v>98</v>
      </c>
      <c r="X9" s="582" t="s">
        <v>254</v>
      </c>
      <c r="Y9" s="582" t="s">
        <v>255</v>
      </c>
      <c r="Z9" s="582" t="s">
        <v>165</v>
      </c>
      <c r="AA9" s="582" t="s">
        <v>165</v>
      </c>
    </row>
    <row r="10" spans="1:27" s="60" customFormat="1" ht="30.75">
      <c r="A10" s="82" t="str">
        <f>'BitacoraDiaria_Muestreo '!D3</f>
        <v>Pagina Libro</v>
      </c>
      <c r="B10" s="64" t="s">
        <v>19</v>
      </c>
      <c r="C10" s="64">
        <v>9</v>
      </c>
      <c r="D10" s="64">
        <v>50</v>
      </c>
      <c r="E10" s="64"/>
      <c r="F10" s="64"/>
      <c r="G10" s="64"/>
      <c r="H10" s="64"/>
      <c r="I10" s="64"/>
      <c r="J10" s="67"/>
      <c r="K10" s="64"/>
      <c r="L10" s="65"/>
      <c r="M10" s="66" t="s">
        <v>9</v>
      </c>
      <c r="N10" s="66" t="s">
        <v>9</v>
      </c>
      <c r="O10" s="66" t="s">
        <v>14</v>
      </c>
      <c r="P10" s="66" t="s">
        <v>14</v>
      </c>
      <c r="Q10" s="66" t="s">
        <v>9</v>
      </c>
      <c r="R10" s="66" t="s">
        <v>9</v>
      </c>
      <c r="S10" s="66" t="s">
        <v>14</v>
      </c>
      <c r="T10" s="66" t="s">
        <v>14</v>
      </c>
      <c r="U10" s="616" t="str">
        <f>'BitacoraDiaria_Muestreo '!D2</f>
        <v xml:space="preserve">Corresponde a la página del libro del empleado </v>
      </c>
      <c r="V10" s="613" t="s">
        <v>257</v>
      </c>
      <c r="W10" s="582" t="s">
        <v>98</v>
      </c>
      <c r="X10" s="582" t="s">
        <v>254</v>
      </c>
      <c r="Y10" s="582" t="s">
        <v>255</v>
      </c>
      <c r="Z10" s="582" t="s">
        <v>165</v>
      </c>
      <c r="AA10" s="582" t="s">
        <v>165</v>
      </c>
    </row>
    <row r="11" spans="1:27" s="3" customFormat="1" ht="27">
      <c r="A11" s="82" t="str">
        <f>'BitacoraDiaria_Muestreo '!E3</f>
        <v>Estado</v>
      </c>
      <c r="B11" s="64" t="s">
        <v>17</v>
      </c>
      <c r="C11" s="64">
        <v>6</v>
      </c>
      <c r="D11" s="64">
        <v>12</v>
      </c>
      <c r="E11" s="64"/>
      <c r="F11" s="64"/>
      <c r="G11" s="64"/>
      <c r="H11" s="64"/>
      <c r="I11" s="64"/>
      <c r="J11" s="67" t="s">
        <v>168</v>
      </c>
      <c r="K11" s="64"/>
      <c r="L11" s="65"/>
      <c r="M11" s="66" t="s">
        <v>9</v>
      </c>
      <c r="N11" s="66" t="s">
        <v>9</v>
      </c>
      <c r="O11" s="66" t="s">
        <v>14</v>
      </c>
      <c r="P11" s="66" t="s">
        <v>14</v>
      </c>
      <c r="Q11" s="66" t="s">
        <v>9</v>
      </c>
      <c r="R11" s="66" t="s">
        <v>9</v>
      </c>
      <c r="S11" s="66" t="s">
        <v>14</v>
      </c>
      <c r="T11" s="66" t="s">
        <v>14</v>
      </c>
      <c r="U11" s="594" t="str">
        <f>'BitacoraDiaria_Muestreo '!E2</f>
        <v>Indica el estado operativo de la bitácora</v>
      </c>
      <c r="V11" s="584" t="s">
        <v>97</v>
      </c>
      <c r="W11" s="582" t="s">
        <v>98</v>
      </c>
      <c r="X11" s="582" t="s">
        <v>254</v>
      </c>
      <c r="Y11" s="614" t="s">
        <v>255</v>
      </c>
      <c r="Z11" s="615" t="s">
        <v>165</v>
      </c>
      <c r="AA11" s="615" t="s">
        <v>165</v>
      </c>
    </row>
    <row r="12" spans="1:27" s="60" customFormat="1">
      <c r="A12" s="149"/>
      <c r="V12" s="596"/>
      <c r="W12" s="595"/>
      <c r="X12" s="595"/>
      <c r="Y12" s="595"/>
      <c r="Z12" s="595"/>
    </row>
    <row r="13" spans="1:27" s="60" customFormat="1">
      <c r="V13" s="596"/>
      <c r="W13" s="595"/>
      <c r="X13" s="595"/>
      <c r="Y13" s="595"/>
      <c r="Z13" s="595"/>
    </row>
    <row r="14" spans="1:27" s="60" customFormat="1" ht="39" customHeight="1">
      <c r="A14" s="733" t="s">
        <v>106</v>
      </c>
      <c r="B14" s="734"/>
      <c r="C14" s="735"/>
    </row>
    <row r="15" spans="1:27">
      <c r="A15" s="70" t="s">
        <v>107</v>
      </c>
      <c r="B15" s="71" t="s">
        <v>49</v>
      </c>
      <c r="C15" s="72" t="s">
        <v>108</v>
      </c>
    </row>
    <row r="16" spans="1:27">
      <c r="A16" s="755" t="s">
        <v>110</v>
      </c>
      <c r="B16" s="757" t="str">
        <f>'BitacoraDiaria_Muestreo '!F2</f>
        <v>El nombre del empleado y la fecha de la bitácora no puede repetirse.</v>
      </c>
      <c r="C16" s="138" t="str">
        <f>A8</f>
        <v>Fecha</v>
      </c>
    </row>
    <row r="17" spans="1:11" ht="39.6" customHeight="1">
      <c r="A17" s="756"/>
      <c r="B17" s="758"/>
      <c r="C17" s="138" t="str">
        <f>A9</f>
        <v>Empleado Aerolínea</v>
      </c>
    </row>
    <row r="19" spans="1:11">
      <c r="A19" s="155" t="s">
        <v>111</v>
      </c>
      <c r="B19" s="156" t="s">
        <v>49</v>
      </c>
      <c r="C19" s="403"/>
      <c r="D19" s="404" t="s">
        <v>112</v>
      </c>
      <c r="E19" s="156"/>
      <c r="F19" s="403"/>
      <c r="G19" s="404" t="s">
        <v>113</v>
      </c>
      <c r="H19" s="726" t="s">
        <v>114</v>
      </c>
      <c r="I19" s="727"/>
      <c r="J19" s="728" t="s">
        <v>115</v>
      </c>
      <c r="K19" s="729"/>
    </row>
    <row r="20" spans="1:11">
      <c r="A20" s="426"/>
      <c r="B20" s="427"/>
      <c r="C20" s="403" t="s">
        <v>116</v>
      </c>
      <c r="D20" s="428" t="s">
        <v>117</v>
      </c>
      <c r="E20" s="405" t="s">
        <v>49</v>
      </c>
      <c r="F20" s="429" t="s">
        <v>77</v>
      </c>
      <c r="G20" s="405" t="s">
        <v>49</v>
      </c>
      <c r="H20" s="429" t="s">
        <v>118</v>
      </c>
      <c r="I20" s="156" t="s">
        <v>49</v>
      </c>
      <c r="J20" s="155" t="s">
        <v>119</v>
      </c>
      <c r="K20" s="429" t="s">
        <v>120</v>
      </c>
    </row>
    <row r="21" spans="1:11" ht="230.25" customHeight="1">
      <c r="A21" s="520" t="s">
        <v>258</v>
      </c>
      <c r="B21" s="521" t="s">
        <v>259</v>
      </c>
      <c r="C21" s="345" t="s">
        <v>123</v>
      </c>
      <c r="D21" s="346" t="s">
        <v>260</v>
      </c>
      <c r="E21" s="219" t="s">
        <v>261</v>
      </c>
      <c r="F21" s="338" t="s">
        <v>262</v>
      </c>
      <c r="G21" s="443" t="s">
        <v>263</v>
      </c>
      <c r="H21" s="171" t="s">
        <v>264</v>
      </c>
      <c r="I21" s="172" t="s">
        <v>128</v>
      </c>
      <c r="J21" s="172" t="s">
        <v>129</v>
      </c>
      <c r="K21" s="345" t="s">
        <v>130</v>
      </c>
    </row>
    <row r="22" spans="1:11" ht="69.75" customHeight="1">
      <c r="A22" s="522"/>
      <c r="B22" s="241"/>
      <c r="C22" s="348"/>
      <c r="D22" s="28"/>
      <c r="E22" s="333"/>
      <c r="F22" s="344"/>
      <c r="G22" s="356"/>
      <c r="H22" s="250"/>
      <c r="I22" s="225"/>
      <c r="J22" s="207"/>
      <c r="K22" s="340"/>
    </row>
    <row r="23" spans="1:11" ht="117.75" customHeight="1">
      <c r="A23" s="162" t="s">
        <v>265</v>
      </c>
      <c r="B23" s="163" t="s">
        <v>266</v>
      </c>
      <c r="C23" s="346" t="s">
        <v>267</v>
      </c>
      <c r="D23" s="345" t="s">
        <v>260</v>
      </c>
      <c r="E23" s="358" t="s">
        <v>268</v>
      </c>
      <c r="F23" s="382"/>
      <c r="G23" s="219"/>
      <c r="H23" s="502" t="s">
        <v>269</v>
      </c>
      <c r="I23" s="500" t="s">
        <v>185</v>
      </c>
      <c r="J23" s="321" t="s">
        <v>129</v>
      </c>
      <c r="K23" s="344" t="s">
        <v>130</v>
      </c>
    </row>
    <row r="24" spans="1:11" ht="60.75" customHeight="1">
      <c r="A24" s="240"/>
      <c r="B24" s="445"/>
      <c r="C24" s="28"/>
      <c r="D24" s="348"/>
      <c r="E24" s="523"/>
      <c r="F24" s="326"/>
      <c r="G24" s="333"/>
      <c r="H24" s="503" t="s">
        <v>270</v>
      </c>
      <c r="I24" s="165" t="s">
        <v>271</v>
      </c>
      <c r="J24" s="217" t="s">
        <v>129</v>
      </c>
      <c r="K24" s="327" t="s">
        <v>130</v>
      </c>
    </row>
    <row r="25" spans="1:11" ht="45.75">
      <c r="A25" s="326"/>
      <c r="B25" s="348"/>
      <c r="C25" s="28"/>
      <c r="D25" s="348"/>
      <c r="E25" s="28"/>
      <c r="F25" s="326"/>
      <c r="G25" s="207"/>
      <c r="H25" s="504" t="s">
        <v>272</v>
      </c>
      <c r="I25" s="165" t="s">
        <v>273</v>
      </c>
      <c r="J25" s="321" t="s">
        <v>129</v>
      </c>
      <c r="K25" s="344" t="s">
        <v>130</v>
      </c>
    </row>
    <row r="26" spans="1:11" ht="102" customHeight="1">
      <c r="A26" s="326"/>
      <c r="B26" s="348"/>
      <c r="C26" s="28"/>
      <c r="D26" s="348"/>
      <c r="E26" s="28"/>
      <c r="F26" s="326"/>
      <c r="G26" s="207"/>
      <c r="H26" s="253" t="s">
        <v>274</v>
      </c>
      <c r="I26" s="511" t="s">
        <v>275</v>
      </c>
      <c r="J26" s="343" t="s">
        <v>276</v>
      </c>
      <c r="K26" s="327" t="s">
        <v>277</v>
      </c>
    </row>
    <row r="27" spans="1:11" ht="72" customHeight="1">
      <c r="A27" s="510" t="s">
        <v>278</v>
      </c>
      <c r="B27" s="163" t="s">
        <v>279</v>
      </c>
      <c r="C27" s="338" t="s">
        <v>133</v>
      </c>
      <c r="D27" s="338" t="s">
        <v>17</v>
      </c>
      <c r="E27" s="358" t="s">
        <v>280</v>
      </c>
      <c r="F27" s="382"/>
      <c r="G27" s="219"/>
      <c r="H27" s="246" t="s">
        <v>281</v>
      </c>
      <c r="I27" s="513" t="s">
        <v>185</v>
      </c>
      <c r="J27" s="216" t="s">
        <v>276</v>
      </c>
      <c r="K27" s="334" t="s">
        <v>130</v>
      </c>
    </row>
    <row r="28" spans="1:11" ht="87" customHeight="1">
      <c r="A28" s="240"/>
      <c r="B28" s="333"/>
      <c r="C28" s="338" t="s">
        <v>267</v>
      </c>
      <c r="D28" s="346" t="s">
        <v>260</v>
      </c>
      <c r="E28" s="219" t="s">
        <v>282</v>
      </c>
      <c r="F28" s="28"/>
      <c r="G28" s="333"/>
      <c r="H28" s="512" t="s">
        <v>270</v>
      </c>
      <c r="I28" s="225" t="s">
        <v>271</v>
      </c>
      <c r="J28" s="514" t="s">
        <v>129</v>
      </c>
      <c r="K28" s="508" t="s">
        <v>130</v>
      </c>
    </row>
    <row r="29" spans="1:11" ht="87" customHeight="1">
      <c r="A29" s="509"/>
      <c r="B29" s="319"/>
      <c r="C29" s="349"/>
      <c r="D29" s="354"/>
      <c r="E29" s="333"/>
      <c r="F29" s="354"/>
      <c r="G29" s="177"/>
      <c r="H29" s="516" t="s">
        <v>283</v>
      </c>
      <c r="I29" s="171" t="s">
        <v>273</v>
      </c>
      <c r="J29" s="514" t="s">
        <v>284</v>
      </c>
      <c r="K29" s="508" t="s">
        <v>277</v>
      </c>
    </row>
    <row r="30" spans="1:11" ht="85.5" customHeight="1">
      <c r="A30" s="192" t="s">
        <v>285</v>
      </c>
      <c r="B30" s="241" t="s">
        <v>286</v>
      </c>
      <c r="C30" s="326" t="s">
        <v>133</v>
      </c>
      <c r="D30" s="326" t="s">
        <v>17</v>
      </c>
      <c r="E30" s="219" t="s">
        <v>287</v>
      </c>
      <c r="F30" s="28"/>
      <c r="G30" s="207"/>
      <c r="H30" s="504" t="s">
        <v>288</v>
      </c>
      <c r="I30" s="514" t="s">
        <v>128</v>
      </c>
      <c r="J30" s="219" t="s">
        <v>129</v>
      </c>
      <c r="K30" s="338" t="s">
        <v>130</v>
      </c>
    </row>
    <row r="31" spans="1:11" ht="48.75" customHeight="1">
      <c r="A31" s="524"/>
      <c r="B31" s="242"/>
      <c r="C31" s="341"/>
      <c r="D31" s="341"/>
      <c r="E31" s="433"/>
      <c r="F31" s="354"/>
      <c r="G31" s="177"/>
      <c r="H31" s="316"/>
      <c r="I31" s="177"/>
      <c r="J31" s="319"/>
      <c r="K31" s="349"/>
    </row>
    <row r="32" spans="1:11" ht="108.75" customHeight="1">
      <c r="A32" s="240" t="s">
        <v>289</v>
      </c>
      <c r="B32" s="241" t="s">
        <v>290</v>
      </c>
      <c r="C32" s="326" t="s">
        <v>133</v>
      </c>
      <c r="D32" s="326" t="s">
        <v>17</v>
      </c>
      <c r="E32" s="219" t="s">
        <v>291</v>
      </c>
      <c r="F32" s="28"/>
      <c r="G32" s="207"/>
      <c r="H32" s="504" t="s">
        <v>288</v>
      </c>
      <c r="I32" s="514" t="s">
        <v>128</v>
      </c>
      <c r="J32" s="219" t="s">
        <v>129</v>
      </c>
      <c r="K32" s="338" t="s">
        <v>130</v>
      </c>
    </row>
    <row r="33" spans="1:11" ht="111.75" customHeight="1">
      <c r="A33" s="524"/>
      <c r="B33" s="518"/>
      <c r="C33" s="327" t="s">
        <v>2</v>
      </c>
      <c r="D33" s="409" t="s">
        <v>21</v>
      </c>
      <c r="E33" s="321" t="s">
        <v>292</v>
      </c>
      <c r="F33" s="354"/>
      <c r="G33" s="177"/>
      <c r="H33" s="253" t="s">
        <v>293</v>
      </c>
      <c r="I33" s="514" t="s">
        <v>294</v>
      </c>
      <c r="J33" s="379" t="s">
        <v>129</v>
      </c>
      <c r="K33" s="327" t="s">
        <v>130</v>
      </c>
    </row>
    <row r="34" spans="1:11" ht="76.5">
      <c r="A34" s="240" t="s">
        <v>295</v>
      </c>
      <c r="B34" s="241" t="s">
        <v>296</v>
      </c>
      <c r="C34" s="326" t="s">
        <v>133</v>
      </c>
      <c r="D34" s="326" t="s">
        <v>17</v>
      </c>
      <c r="E34" s="219" t="s">
        <v>297</v>
      </c>
      <c r="F34" s="28"/>
      <c r="G34" s="207"/>
      <c r="H34" s="504" t="s">
        <v>288</v>
      </c>
      <c r="I34" s="514" t="s">
        <v>128</v>
      </c>
      <c r="J34" s="219" t="s">
        <v>129</v>
      </c>
      <c r="K34" s="338" t="s">
        <v>130</v>
      </c>
    </row>
    <row r="35" spans="1:11" ht="69" customHeight="1">
      <c r="A35" s="525"/>
      <c r="B35" s="526"/>
      <c r="C35" s="327" t="s">
        <v>2</v>
      </c>
      <c r="D35" s="409" t="s">
        <v>21</v>
      </c>
      <c r="E35" s="321" t="s">
        <v>298</v>
      </c>
      <c r="F35" s="354"/>
      <c r="G35" s="177"/>
      <c r="H35" s="253" t="s">
        <v>299</v>
      </c>
      <c r="I35" s="515" t="s">
        <v>300</v>
      </c>
      <c r="J35" s="379" t="s">
        <v>129</v>
      </c>
      <c r="K35" s="327" t="s">
        <v>130</v>
      </c>
    </row>
  </sheetData>
  <mergeCells count="9">
    <mergeCell ref="H19:I19"/>
    <mergeCell ref="J19:K19"/>
    <mergeCell ref="B2:U2"/>
    <mergeCell ref="B3:U3"/>
    <mergeCell ref="B4:U4"/>
    <mergeCell ref="B5:U5"/>
    <mergeCell ref="A14:C14"/>
    <mergeCell ref="A16:A17"/>
    <mergeCell ref="B16:B17"/>
  </mergeCells>
  <phoneticPr fontId="10" type="noConversion"/>
  <hyperlinks>
    <hyperlink ref="C1" location="'BitacoraDiaria_Muestreo '!A1" display="&lt;&lt; Muestreo Datos" xr:uid="{62D4D4E4-6975-4B27-9AA5-B38789A1734D}"/>
    <hyperlink ref="A1" location="'Modelo Dominio Anémico'!A1" display="&lt;&lt; Modelo de dominio &gt;&gt;" xr:uid="{4BAFBDBB-EBDA-4B41-9387-46BCB889AA92}"/>
    <hyperlink ref="B1" location="'Objetos Dominio'!A1" display="&lt;&lt; Objetos de dominio" xr:uid="{F2780AE3-3A50-47E7-8946-079B797761BE}"/>
    <hyperlink ref="B9" location="EmpleadoAerolinea_Caracterizac!A1" display="EmpleadoAerolinea" xr:uid="{5E16DCF8-1B33-4A32-B2FB-ADAA6E53B357}"/>
    <hyperlink ref="C17" location="Vuelo_Caracterizacion!A9" display="Vuelo_Caracterizacion!A9" xr:uid="{CD0C45DA-5ED7-48C5-982D-3096ACC1068B}"/>
    <hyperlink ref="C16" location="Vuelo_Caracterizacion!A10" display="Vuelo_Caracterizacion!A10" xr:uid="{FFA00766-BC33-4E99-AE49-DB5505F5E88E}"/>
    <hyperlink ref="V6" location="Objeto Dominio 2!A16" display="Registrar Información  Horario Sede" xr:uid="{9AD5E38F-900C-469F-B0C8-E4506C297B64}"/>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D1D25223-F08E-4A8B-A01F-77FC7E7CB46F}">
          <x14:formula1>
            <xm:f>Valores!$E$2:$E$35</xm:f>
          </x14:formula1>
          <xm:sqref>B7:B11</xm:sqref>
        </x14:dataValidation>
        <x14:dataValidation type="list" allowBlank="1" showInputMessage="1" showErrorMessage="1" xr:uid="{FC29A19D-1D83-4EFE-9AFF-3559A2C0A871}">
          <x14:formula1>
            <xm:f>Valores!$F$2:$F$4</xm:f>
          </x14:formula1>
          <xm:sqref>G7</xm:sqref>
        </x14:dataValidation>
        <x14:dataValidation type="list" allowBlank="1" showInputMessage="1" showErrorMessage="1" xr:uid="{0868BC01-D156-42C6-AC9C-ECB176EDF1B6}">
          <x14:formula1>
            <xm:f>Valores!$D$2:$D$3</xm:f>
          </x14:formula1>
          <xm:sqref>M7:T11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0B947-21D6-4FD0-A5AF-8E0219BFD02D}">
  <sheetPr>
    <tabColor theme="0" tint="-0.34998626667073579"/>
  </sheetPr>
  <dimension ref="A1:G383"/>
  <sheetViews>
    <sheetView topLeftCell="C1" workbookViewId="0">
      <pane ySplit="3" topLeftCell="IS383" activePane="bottomLeft" state="frozen"/>
      <selection pane="bottomLeft" activeCell="A6" sqref="A6"/>
    </sheetView>
  </sheetViews>
  <sheetFormatPr defaultColWidth="10.85546875" defaultRowHeight="14.45"/>
  <cols>
    <col min="1" max="1" width="51.42578125" style="29" customWidth="1"/>
    <col min="2" max="2" width="23.5703125" style="29" customWidth="1"/>
    <col min="3" max="3" width="36.42578125" style="4" customWidth="1"/>
    <col min="4" max="4" width="26.85546875" style="4" customWidth="1"/>
    <col min="5" max="5" width="24.42578125" style="4" customWidth="1"/>
    <col min="6" max="6" width="41.140625" style="4" customWidth="1"/>
    <col min="7" max="7" width="27.42578125" style="4" customWidth="1"/>
    <col min="8" max="16384" width="10.85546875" style="4"/>
  </cols>
  <sheetData>
    <row r="1" spans="1:7" customFormat="1" ht="15">
      <c r="A1" s="58" t="s">
        <v>46</v>
      </c>
      <c r="B1" s="69" t="s">
        <v>74</v>
      </c>
      <c r="C1" s="69" t="s">
        <v>145</v>
      </c>
    </row>
    <row r="2" spans="1:7" s="1" customFormat="1" ht="23.25">
      <c r="A2" s="434" t="s">
        <v>301</v>
      </c>
      <c r="B2" s="434" t="s">
        <v>302</v>
      </c>
      <c r="C2" s="434" t="s">
        <v>303</v>
      </c>
      <c r="D2" s="434" t="s">
        <v>304</v>
      </c>
      <c r="E2" s="413" t="s">
        <v>305</v>
      </c>
      <c r="F2" s="413" t="s">
        <v>306</v>
      </c>
      <c r="G2" s="413" t="s">
        <v>307</v>
      </c>
    </row>
    <row r="3" spans="1:7" s="28" customFormat="1" ht="15">
      <c r="A3" s="435" t="s">
        <v>133</v>
      </c>
      <c r="B3" s="435" t="s">
        <v>22</v>
      </c>
      <c r="C3" s="436" t="s">
        <v>60</v>
      </c>
      <c r="D3" s="435" t="s">
        <v>308</v>
      </c>
      <c r="E3" s="435" t="s">
        <v>2</v>
      </c>
      <c r="F3" s="437" t="s">
        <v>153</v>
      </c>
      <c r="G3" s="418" t="s">
        <v>309</v>
      </c>
    </row>
    <row r="4" spans="1:7" ht="15">
      <c r="A4" s="419" t="s">
        <v>310</v>
      </c>
      <c r="B4" s="438" t="s">
        <v>311</v>
      </c>
      <c r="C4" s="439" t="str">
        <f>EmpleadoAerolinea_Muestreo!I4</f>
        <v>Latam Airlines-4472021</v>
      </c>
      <c r="D4" s="438" t="s">
        <v>312</v>
      </c>
      <c r="E4" s="440" t="s">
        <v>158</v>
      </c>
      <c r="F4" s="441" t="str">
        <f>C4&amp;"-"&amp;TEXT(B4,"DD/MM/AA")</f>
        <v>Latam Airlines-4472021-01/01/AA</v>
      </c>
      <c r="G4" s="442" t="str">
        <f>D4</f>
        <v>176770012</v>
      </c>
    </row>
    <row r="5" spans="1:7" ht="15">
      <c r="A5" s="4"/>
      <c r="B5" s="4"/>
    </row>
    <row r="6" spans="1:7" ht="15">
      <c r="A6" s="4"/>
      <c r="B6" s="4"/>
    </row>
    <row r="7" spans="1:7" ht="15">
      <c r="A7" s="4"/>
      <c r="B7" s="4"/>
      <c r="F7" s="423"/>
    </row>
    <row r="8" spans="1:7" ht="15">
      <c r="A8" s="4"/>
      <c r="B8" s="4"/>
    </row>
    <row r="9" spans="1:7">
      <c r="A9" s="4"/>
      <c r="B9" s="4"/>
    </row>
    <row r="10" spans="1:7">
      <c r="A10" s="4"/>
      <c r="B10" s="4"/>
    </row>
    <row r="11" spans="1:7">
      <c r="A11" s="4"/>
      <c r="B11" s="4"/>
    </row>
    <row r="12" spans="1:7">
      <c r="A12" s="4"/>
      <c r="B12" s="4"/>
    </row>
    <row r="13" spans="1:7">
      <c r="A13" s="4"/>
      <c r="B13" s="4"/>
    </row>
    <row r="14" spans="1:7">
      <c r="A14" s="4"/>
      <c r="B14" s="4"/>
    </row>
    <row r="15" spans="1:7">
      <c r="A15" s="4"/>
      <c r="B15" s="4"/>
    </row>
    <row r="16" spans="1:7">
      <c r="A16" s="4"/>
      <c r="B16" s="4"/>
    </row>
    <row r="17" s="4" customFormat="1"/>
    <row r="18" s="4" customFormat="1"/>
    <row r="19" s="4" customFormat="1"/>
    <row r="20" s="4" customFormat="1"/>
    <row r="21" s="4" customFormat="1"/>
    <row r="22" s="4" customFormat="1"/>
    <row r="23" s="4" customFormat="1"/>
    <row r="24" s="4" customFormat="1"/>
    <row r="25" s="4" customFormat="1"/>
    <row r="26" s="4" customFormat="1"/>
    <row r="27" s="4" customFormat="1"/>
    <row r="28" s="4" customFormat="1"/>
    <row r="29" s="4" customFormat="1"/>
    <row r="30" s="4" customFormat="1"/>
    <row r="31" s="4" customFormat="1"/>
    <row r="32" s="4" customFormat="1"/>
    <row r="33" s="4" customFormat="1"/>
    <row r="34" s="4" customFormat="1"/>
    <row r="35" s="4" customFormat="1"/>
    <row r="36" s="4" customFormat="1"/>
    <row r="37" s="4" customFormat="1"/>
    <row r="38" s="4" customFormat="1"/>
    <row r="39" s="4" customFormat="1"/>
    <row r="40" s="4" customFormat="1"/>
    <row r="41" s="4" customFormat="1"/>
    <row r="42" s="4" customFormat="1"/>
    <row r="43" s="4" customFormat="1"/>
    <row r="44" s="4" customFormat="1"/>
    <row r="45" s="4" customFormat="1"/>
    <row r="46" s="4" customFormat="1"/>
    <row r="47" s="4" customFormat="1"/>
    <row r="48" s="4" customFormat="1"/>
    <row r="49" s="4" customFormat="1"/>
    <row r="50" s="4" customFormat="1"/>
    <row r="51" s="4" customFormat="1"/>
    <row r="52" s="4" customFormat="1"/>
    <row r="53" s="4" customFormat="1"/>
    <row r="54" s="4" customFormat="1"/>
    <row r="55" s="4" customFormat="1"/>
    <row r="56" s="4" customFormat="1"/>
    <row r="57" s="4" customFormat="1"/>
    <row r="58" s="4" customFormat="1"/>
    <row r="59" s="4" customFormat="1"/>
    <row r="60" s="4" customFormat="1"/>
    <row r="61" s="4" customFormat="1"/>
    <row r="62" s="4" customFormat="1"/>
    <row r="63" s="4" customFormat="1"/>
    <row r="64" s="4" customFormat="1"/>
    <row r="65" s="4" customFormat="1"/>
    <row r="66" s="4" customFormat="1"/>
    <row r="67" s="4" customFormat="1"/>
    <row r="68" s="4" customFormat="1"/>
    <row r="69" s="4" customFormat="1"/>
    <row r="70" s="4" customFormat="1"/>
    <row r="71" s="4" customFormat="1"/>
    <row r="72" s="4" customFormat="1"/>
    <row r="73" s="4" customFormat="1"/>
    <row r="74" s="4" customFormat="1"/>
    <row r="75" s="4" customFormat="1"/>
    <row r="76" s="4" customFormat="1"/>
    <row r="77" s="4" customFormat="1"/>
    <row r="78" s="4" customFormat="1"/>
    <row r="79" s="4" customFormat="1"/>
    <row r="80" s="4" customFormat="1"/>
    <row r="81" s="4" customFormat="1"/>
    <row r="82" s="4" customFormat="1"/>
    <row r="83" s="4" customFormat="1"/>
    <row r="84" s="4" customFormat="1"/>
    <row r="85" s="4" customFormat="1"/>
    <row r="86" s="4" customFormat="1"/>
    <row r="87" s="4" customFormat="1"/>
    <row r="88" s="4" customFormat="1"/>
    <row r="89" s="4" customFormat="1"/>
    <row r="90" s="4" customFormat="1"/>
    <row r="91" s="4" customFormat="1"/>
    <row r="92" s="4" customFormat="1"/>
    <row r="93" s="4" customFormat="1"/>
    <row r="94" s="4" customFormat="1"/>
    <row r="95" s="4" customFormat="1"/>
    <row r="96" s="4" customFormat="1"/>
    <row r="97" s="4" customFormat="1"/>
    <row r="98" s="4" customFormat="1"/>
    <row r="99" s="4" customFormat="1"/>
    <row r="100" s="4" customFormat="1"/>
    <row r="101" s="4" customFormat="1"/>
    <row r="102" s="4" customFormat="1"/>
    <row r="103" s="4" customFormat="1"/>
    <row r="104" s="4" customFormat="1"/>
    <row r="105" s="4" customFormat="1"/>
    <row r="106" s="4" customFormat="1"/>
    <row r="107" s="4" customFormat="1"/>
    <row r="108" s="4" customFormat="1"/>
    <row r="109" s="4" customFormat="1"/>
    <row r="110" s="4" customFormat="1"/>
    <row r="111" s="4" customFormat="1"/>
    <row r="112" s="4" customFormat="1"/>
    <row r="113" s="4" customFormat="1"/>
    <row r="114" s="4" customFormat="1"/>
    <row r="115" s="4" customFormat="1"/>
    <row r="116" s="4" customFormat="1"/>
    <row r="117" s="4" customFormat="1"/>
    <row r="118" s="4" customFormat="1"/>
    <row r="119" s="4" customFormat="1"/>
    <row r="120" s="4" customFormat="1"/>
    <row r="121" s="4" customFormat="1"/>
    <row r="122" s="4" customFormat="1"/>
    <row r="123" s="4" customFormat="1"/>
    <row r="124" s="4" customFormat="1"/>
    <row r="125" s="4" customFormat="1"/>
    <row r="126" s="4" customFormat="1"/>
    <row r="127" s="4" customFormat="1"/>
    <row r="128" s="4" customFormat="1"/>
    <row r="129" s="4" customFormat="1"/>
    <row r="130" s="4" customFormat="1"/>
    <row r="131" s="4" customFormat="1"/>
    <row r="132" s="4" customFormat="1"/>
    <row r="133" s="4" customFormat="1"/>
    <row r="134" s="4" customFormat="1"/>
    <row r="135" s="4" customFormat="1"/>
    <row r="136" s="4" customFormat="1"/>
    <row r="137" s="4" customFormat="1"/>
    <row r="138" s="4" customFormat="1"/>
    <row r="139" s="4" customFormat="1"/>
    <row r="140" s="4" customFormat="1"/>
    <row r="141" s="4" customFormat="1"/>
    <row r="142" s="4" customFormat="1"/>
    <row r="143" s="4" customFormat="1"/>
    <row r="144" s="4" customFormat="1"/>
    <row r="145" s="4" customFormat="1"/>
    <row r="146" s="4" customFormat="1"/>
    <row r="147" s="4" customFormat="1"/>
    <row r="148" s="4" customFormat="1"/>
    <row r="149" s="4" customFormat="1"/>
    <row r="150" s="4" customFormat="1"/>
    <row r="151" s="4" customFormat="1"/>
    <row r="152" s="4" customFormat="1"/>
    <row r="153" s="4" customFormat="1"/>
    <row r="154" s="4" customFormat="1"/>
    <row r="155" s="4" customFormat="1"/>
    <row r="156" s="4" customFormat="1"/>
    <row r="157" s="4" customFormat="1"/>
    <row r="158" s="4" customFormat="1"/>
    <row r="159" s="4" customFormat="1"/>
    <row r="160" s="4" customFormat="1"/>
    <row r="161" s="4" customFormat="1"/>
    <row r="162" s="4" customFormat="1"/>
    <row r="163" s="4" customFormat="1"/>
    <row r="164" s="4" customFormat="1"/>
    <row r="165" s="4" customFormat="1"/>
    <row r="166" s="4" customFormat="1"/>
    <row r="167" s="4" customFormat="1"/>
    <row r="168" s="4" customFormat="1"/>
    <row r="169" s="4" customFormat="1"/>
    <row r="170" s="4" customFormat="1"/>
    <row r="383" ht="21" customHeight="1"/>
  </sheetData>
  <hyperlinks>
    <hyperlink ref="C1" location="Fabricante_Caracterización!A1" display="Caracterización objeto &gt;&gt;" xr:uid="{253B26B0-014D-406C-86FC-D535675B2DBC}"/>
    <hyperlink ref="A1" location="'Modelo Dominio Anémico'!A1" display="&lt;&lt; Modelo de dominio &gt;&gt;" xr:uid="{06291283-FF49-4019-8CB4-A1635163364C}"/>
    <hyperlink ref="B1" location="'Objetos Dominio'!A1" display="&lt;&lt; Objetos de dominio" xr:uid="{D23FB6EF-20B0-462B-9BDF-FB248362F401}"/>
    <hyperlink ref="C3" location="EmpleadoAerolinea_Muestreo!A1" display="Empleado Aerolinea" xr:uid="{E2884300-B8DE-4538-B1C3-03E6BB5187B6}"/>
    <hyperlink ref="C4" location="EmpleadoAerolinea_Muestreo!A23" display="EmpleadoAerolinea_Muestreo!A23" xr:uid="{B3D26BE1-02B9-40D0-B562-6A2FC2960016}"/>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B669-C821-41D3-B550-7D520854CA4D}">
  <sheetPr>
    <tabColor theme="5" tint="-0.499984740745262"/>
  </sheetPr>
  <dimension ref="A1:Y50"/>
  <sheetViews>
    <sheetView tabSelected="1" workbookViewId="0">
      <pane xSplit="1" topLeftCell="B3" activePane="topRight" state="frozen"/>
      <selection pane="topRight" activeCell="A13" sqref="A13"/>
      <selection activeCell="A7" sqref="A7"/>
    </sheetView>
  </sheetViews>
  <sheetFormatPr defaultColWidth="10.85546875" defaultRowHeight="15"/>
  <cols>
    <col min="1" max="4" width="38.5703125" style="4" customWidth="1"/>
    <col min="5" max="5" width="15.140625" style="4" customWidth="1"/>
    <col min="6" max="6" width="21.7109375" style="4" customWidth="1"/>
    <col min="7" max="7" width="12.140625" style="4" bestFit="1" customWidth="1"/>
    <col min="8" max="8" width="32.42578125" style="4" bestFit="1" customWidth="1"/>
    <col min="9" max="9" width="29.42578125" style="4" bestFit="1" customWidth="1"/>
    <col min="10" max="10" width="40.5703125" style="4" customWidth="1"/>
    <col min="11" max="11" width="33.42578125" style="4" customWidth="1"/>
    <col min="12" max="12" width="11.42578125" style="4" bestFit="1"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79" style="4" customWidth="1"/>
    <col min="23" max="23" width="60.5703125" style="4" customWidth="1"/>
    <col min="24" max="24" width="47.5703125" style="4" customWidth="1"/>
    <col min="25" max="25" width="46.28515625" style="4" customWidth="1"/>
    <col min="26" max="16384" width="10.85546875" style="4"/>
  </cols>
  <sheetData>
    <row r="1" spans="1:25" customFormat="1">
      <c r="A1" s="58" t="s">
        <v>46</v>
      </c>
      <c r="B1" s="69" t="s">
        <v>74</v>
      </c>
      <c r="C1" s="69" t="s">
        <v>75</v>
      </c>
    </row>
    <row r="2" spans="1:25" s="60" customFormat="1">
      <c r="A2" s="59" t="str">
        <f>'Objetos Dominio'!$A$2</f>
        <v>Nombre</v>
      </c>
      <c r="B2" s="730" t="str">
        <f>'Objetos Dominio'!$A$8</f>
        <v>Detalle Bitácora Diaria</v>
      </c>
      <c r="C2" s="730"/>
      <c r="D2" s="730"/>
      <c r="E2" s="730"/>
      <c r="F2" s="730"/>
      <c r="G2" s="730"/>
      <c r="H2" s="730"/>
      <c r="I2" s="730"/>
      <c r="J2" s="730"/>
      <c r="K2" s="730"/>
      <c r="L2" s="730"/>
      <c r="M2" s="730"/>
      <c r="N2" s="730"/>
      <c r="O2" s="730"/>
      <c r="P2" s="730"/>
      <c r="Q2" s="730"/>
      <c r="R2" s="730"/>
      <c r="S2" s="730"/>
      <c r="T2" s="730"/>
      <c r="U2" s="730"/>
    </row>
    <row r="3" spans="1:25" s="60" customFormat="1" ht="14.1" customHeight="1">
      <c r="A3" s="59" t="str">
        <f>'Objetos Dominio'!$B$2</f>
        <v>Tipo</v>
      </c>
      <c r="B3" s="731" t="str">
        <f>'Objetos Dominio'!$B$8</f>
        <v>Referenciado</v>
      </c>
      <c r="C3" s="731"/>
      <c r="D3" s="731"/>
      <c r="E3" s="731"/>
      <c r="F3" s="731"/>
      <c r="G3" s="731"/>
      <c r="H3" s="731"/>
      <c r="I3" s="731"/>
      <c r="J3" s="731"/>
      <c r="K3" s="731"/>
      <c r="L3" s="731"/>
      <c r="M3" s="731"/>
      <c r="N3" s="731"/>
      <c r="O3" s="731"/>
      <c r="P3" s="731"/>
      <c r="Q3" s="731"/>
      <c r="R3" s="731"/>
      <c r="S3" s="731"/>
      <c r="T3" s="731"/>
      <c r="U3" s="731"/>
    </row>
    <row r="4" spans="1:25" s="60" customFormat="1" ht="14.1" customHeight="1">
      <c r="A4" s="59" t="str">
        <f>'Objetos Dominio'!$C$2</f>
        <v>Contexto Origen</v>
      </c>
      <c r="B4" s="731">
        <f>'Objetos Dominio'!$C$8</f>
        <v>0</v>
      </c>
      <c r="C4" s="731"/>
      <c r="D4" s="731"/>
      <c r="E4" s="731"/>
      <c r="F4" s="731"/>
      <c r="G4" s="731"/>
      <c r="H4" s="731"/>
      <c r="I4" s="731"/>
      <c r="J4" s="731"/>
      <c r="K4" s="731"/>
      <c r="L4" s="731"/>
      <c r="M4" s="731"/>
      <c r="N4" s="731"/>
      <c r="O4" s="731"/>
      <c r="P4" s="731"/>
      <c r="Q4" s="731"/>
      <c r="R4" s="731"/>
      <c r="S4" s="731"/>
      <c r="T4" s="731"/>
      <c r="U4" s="731"/>
    </row>
    <row r="5" spans="1:25" s="60" customFormat="1" ht="14.1" customHeight="1">
      <c r="A5" s="59" t="str">
        <f>'Objetos Dominio'!$D$2</f>
        <v>Descripción</v>
      </c>
      <c r="B5" s="731" t="str">
        <f>'Objetos Dominio'!$D$8</f>
        <v>Objeto de dominio que representa a quien pertenece la bitácora, la información del vuelo, la matrícula de la aeronave, la tripulación y  que rango tienen, las horas de vuelo y su total.</v>
      </c>
      <c r="C5" s="731"/>
      <c r="D5" s="731"/>
      <c r="E5" s="731"/>
      <c r="F5" s="731"/>
      <c r="G5" s="731"/>
      <c r="H5" s="731"/>
      <c r="I5" s="731"/>
      <c r="J5" s="731"/>
      <c r="K5" s="731"/>
      <c r="L5" s="731"/>
      <c r="M5" s="731"/>
      <c r="N5" s="731"/>
      <c r="O5" s="731"/>
      <c r="P5" s="731"/>
      <c r="Q5" s="731"/>
      <c r="R5" s="731"/>
      <c r="S5" s="731"/>
      <c r="T5" s="731"/>
      <c r="U5" s="731"/>
    </row>
    <row r="6" spans="1:25" s="60" customFormat="1">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580" t="str">
        <f>A42</f>
        <v>Consultar la Información de Detalle  de la Bitácora Diaria</v>
      </c>
      <c r="W6" s="580" t="str">
        <f>A46</f>
        <v xml:space="preserve">Editar la Información de Detalle Bitacora Diaria	</v>
      </c>
      <c r="X6" s="580" t="str">
        <f>A37</f>
        <v>Agregar la Información a Detalle Bitacora Diaria</v>
      </c>
      <c r="Y6" s="580" t="str">
        <f>A49</f>
        <v>Eliminar Información de un Detalle Bitacora Diaria</v>
      </c>
    </row>
    <row r="7" spans="1:25" s="60" customFormat="1" ht="53.45" customHeight="1">
      <c r="A7" s="82" t="str">
        <f>'Deta_BitacoraDiaria_Muestreo '!A3</f>
        <v>Id</v>
      </c>
      <c r="B7" s="64" t="s">
        <v>17</v>
      </c>
      <c r="C7" s="64">
        <v>36</v>
      </c>
      <c r="D7" s="64">
        <v>36</v>
      </c>
      <c r="E7" s="64"/>
      <c r="F7" s="64"/>
      <c r="G7" s="64"/>
      <c r="H7" s="64"/>
      <c r="I7" s="64"/>
      <c r="J7" s="67" t="s">
        <v>252</v>
      </c>
      <c r="K7" s="64"/>
      <c r="L7" s="65"/>
      <c r="M7" s="66" t="s">
        <v>9</v>
      </c>
      <c r="N7" s="66" t="s">
        <v>9</v>
      </c>
      <c r="O7" s="66" t="s">
        <v>9</v>
      </c>
      <c r="P7" s="66" t="s">
        <v>14</v>
      </c>
      <c r="Q7" s="66" t="s">
        <v>9</v>
      </c>
      <c r="R7" s="66" t="s">
        <v>14</v>
      </c>
      <c r="S7" s="66" t="s">
        <v>14</v>
      </c>
      <c r="T7" s="66" t="s">
        <v>9</v>
      </c>
      <c r="U7" s="93" t="str">
        <f>'Deta_BitacoraDiaria_Muestreo '!A2</f>
        <v>Corresponde a un identificador único de la bitácora dentro del objeto de dominio .</v>
      </c>
      <c r="V7" s="581" t="s">
        <v>97</v>
      </c>
      <c r="W7" s="582" t="s">
        <v>253</v>
      </c>
      <c r="X7" s="582" t="s">
        <v>98</v>
      </c>
      <c r="Y7" s="582" t="s">
        <v>98</v>
      </c>
    </row>
    <row r="8" spans="1:25" s="60" customFormat="1" ht="48.75" customHeight="1">
      <c r="A8" s="82" t="str">
        <f>'Deta_BitacoraDiaria_Muestreo '!B3</f>
        <v>Bitácora Diaria</v>
      </c>
      <c r="B8" s="96" t="s">
        <v>45</v>
      </c>
      <c r="C8" s="64"/>
      <c r="D8" s="64"/>
      <c r="E8" s="64"/>
      <c r="F8" s="64"/>
      <c r="G8" s="64"/>
      <c r="H8" s="64"/>
      <c r="I8" s="64"/>
      <c r="J8" s="67"/>
      <c r="K8" s="64"/>
      <c r="L8" s="65"/>
      <c r="M8" s="66" t="s">
        <v>9</v>
      </c>
      <c r="N8" s="66" t="s">
        <v>9</v>
      </c>
      <c r="O8" s="66" t="s">
        <v>14</v>
      </c>
      <c r="P8" s="66" t="s">
        <v>14</v>
      </c>
      <c r="Q8" s="66" t="s">
        <v>9</v>
      </c>
      <c r="R8" s="66" t="s">
        <v>9</v>
      </c>
      <c r="S8" s="66" t="s">
        <v>14</v>
      </c>
      <c r="T8" s="66" t="s">
        <v>14</v>
      </c>
      <c r="U8" s="93" t="str">
        <f>'Deta_BitacoraDiaria_Muestreo '!B2</f>
        <v>Corresponde al nombre del empleado al que le pertenece la bitácora</v>
      </c>
      <c r="V8" s="581" t="s">
        <v>313</v>
      </c>
      <c r="W8" s="582" t="s">
        <v>254</v>
      </c>
      <c r="X8" s="582" t="s">
        <v>98</v>
      </c>
      <c r="Y8" s="582" t="s">
        <v>255</v>
      </c>
    </row>
    <row r="9" spans="1:25" s="60" customFormat="1" ht="57" customHeight="1">
      <c r="A9" s="82" t="str">
        <f>'Deta_BitacoraDiaria_Muestreo '!C3</f>
        <v>Vuelo</v>
      </c>
      <c r="B9" s="96" t="s">
        <v>30</v>
      </c>
      <c r="C9" s="64"/>
      <c r="D9" s="64"/>
      <c r="E9" s="64"/>
      <c r="F9" s="64"/>
      <c r="G9" s="64"/>
      <c r="H9" s="64"/>
      <c r="I9" s="64"/>
      <c r="J9" s="67"/>
      <c r="K9" s="64"/>
      <c r="L9" s="65"/>
      <c r="M9" s="66" t="s">
        <v>9</v>
      </c>
      <c r="N9" s="66" t="s">
        <v>9</v>
      </c>
      <c r="O9" s="66" t="s">
        <v>14</v>
      </c>
      <c r="P9" s="66" t="s">
        <v>14</v>
      </c>
      <c r="Q9" s="66" t="s">
        <v>9</v>
      </c>
      <c r="R9" s="66" t="s">
        <v>9</v>
      </c>
      <c r="S9" s="66" t="s">
        <v>14</v>
      </c>
      <c r="T9" s="66" t="s">
        <v>14</v>
      </c>
      <c r="U9" s="93" t="str">
        <f>'Deta_BitacoraDiaria_Muestreo '!C2</f>
        <v xml:space="preserve">Corresponde al  vuelo </v>
      </c>
      <c r="V9" s="579" t="s">
        <v>314</v>
      </c>
      <c r="W9" s="582" t="s">
        <v>254</v>
      </c>
      <c r="X9" s="582" t="s">
        <v>98</v>
      </c>
      <c r="Y9" s="582" t="s">
        <v>255</v>
      </c>
    </row>
    <row r="10" spans="1:25" s="60" customFormat="1" ht="66" customHeight="1">
      <c r="A10" s="82" t="str">
        <f>'Deta_BitacoraDiaria_Muestreo '!D3</f>
        <v>Fecha Real Salida Vuelo</v>
      </c>
      <c r="B10" s="64" t="s">
        <v>23</v>
      </c>
      <c r="C10" s="64">
        <v>6</v>
      </c>
      <c r="D10" s="64">
        <v>6</v>
      </c>
      <c r="E10" s="64"/>
      <c r="F10" s="64"/>
      <c r="G10" s="64"/>
      <c r="H10" s="64"/>
      <c r="I10" s="64"/>
      <c r="J10" s="67"/>
      <c r="K10" s="64"/>
      <c r="L10" s="65"/>
      <c r="M10" s="66" t="s">
        <v>9</v>
      </c>
      <c r="N10" s="66" t="s">
        <v>9</v>
      </c>
      <c r="O10" s="66" t="s">
        <v>14</v>
      </c>
      <c r="P10" s="66" t="s">
        <v>14</v>
      </c>
      <c r="Q10" s="66" t="s">
        <v>9</v>
      </c>
      <c r="R10" s="66" t="s">
        <v>9</v>
      </c>
      <c r="S10" s="66" t="s">
        <v>14</v>
      </c>
      <c r="T10" s="66" t="s">
        <v>14</v>
      </c>
      <c r="U10" s="93" t="str">
        <f>'Deta_BitacoraDiaria_Muestreo '!D2</f>
        <v>Corresponde a la fecha y hora de salida del vuelo</v>
      </c>
      <c r="V10" s="583" t="s">
        <v>315</v>
      </c>
      <c r="W10" s="582" t="s">
        <v>254</v>
      </c>
      <c r="X10" s="582" t="s">
        <v>98</v>
      </c>
      <c r="Y10" s="582" t="s">
        <v>255</v>
      </c>
    </row>
    <row r="11" spans="1:25" s="3" customFormat="1" ht="47.25" customHeight="1">
      <c r="A11" s="82" t="str">
        <f>'Deta_BitacoraDiaria_Muestreo '!E3</f>
        <v>Matricula Real</v>
      </c>
      <c r="B11" s="96" t="s">
        <v>38</v>
      </c>
      <c r="C11" s="64"/>
      <c r="D11" s="64"/>
      <c r="E11" s="64"/>
      <c r="F11" s="64"/>
      <c r="G11" s="64"/>
      <c r="H11" s="64"/>
      <c r="I11" s="64"/>
      <c r="J11" s="67"/>
      <c r="K11" s="64"/>
      <c r="L11" s="65"/>
      <c r="M11" s="66" t="s">
        <v>9</v>
      </c>
      <c r="N11" s="66" t="s">
        <v>9</v>
      </c>
      <c r="O11" s="66" t="s">
        <v>14</v>
      </c>
      <c r="P11" s="66" t="s">
        <v>14</v>
      </c>
      <c r="Q11" s="66" t="s">
        <v>9</v>
      </c>
      <c r="R11" s="66" t="s">
        <v>9</v>
      </c>
      <c r="S11" s="66" t="s">
        <v>14</v>
      </c>
      <c r="T11" s="66" t="s">
        <v>14</v>
      </c>
      <c r="U11" s="93" t="str">
        <f>'Deta_BitacoraDiaria_Muestreo '!E2</f>
        <v xml:space="preserve">Corresponde a la matrícula de la aeronave </v>
      </c>
      <c r="V11" s="584" t="s">
        <v>316</v>
      </c>
      <c r="W11" s="582" t="s">
        <v>254</v>
      </c>
      <c r="X11" s="582" t="s">
        <v>98</v>
      </c>
      <c r="Y11" s="582" t="s">
        <v>255</v>
      </c>
    </row>
    <row r="12" spans="1:25" s="60" customFormat="1" ht="45.75">
      <c r="A12" s="82" t="str">
        <f>'Deta_BitacoraDiaria_Muestreo '!F3</f>
        <v>PAX</v>
      </c>
      <c r="B12" s="64" t="s">
        <v>19</v>
      </c>
      <c r="C12" s="64"/>
      <c r="D12" s="64"/>
      <c r="E12" s="64"/>
      <c r="F12" s="64"/>
      <c r="G12" s="64"/>
      <c r="H12" s="64">
        <v>1</v>
      </c>
      <c r="I12" s="64">
        <v>935</v>
      </c>
      <c r="J12" s="67"/>
      <c r="K12" s="64"/>
      <c r="L12" s="65"/>
      <c r="M12" s="66" t="s">
        <v>9</v>
      </c>
      <c r="N12" s="66" t="s">
        <v>9</v>
      </c>
      <c r="O12" s="66" t="s">
        <v>14</v>
      </c>
      <c r="P12" s="66" t="s">
        <v>14</v>
      </c>
      <c r="Q12" s="66" t="s">
        <v>9</v>
      </c>
      <c r="R12" s="66" t="s">
        <v>9</v>
      </c>
      <c r="S12" s="66" t="s">
        <v>14</v>
      </c>
      <c r="T12" s="66" t="s">
        <v>14</v>
      </c>
      <c r="U12" s="93" t="str">
        <f>'Deta_BitacoraDiaria_Muestreo '!F2</f>
        <v>Corresponde al número de pasajeros</v>
      </c>
      <c r="V12" s="584" t="s">
        <v>317</v>
      </c>
      <c r="W12" s="582" t="s">
        <v>254</v>
      </c>
      <c r="X12" s="582" t="s">
        <v>98</v>
      </c>
      <c r="Y12" s="582" t="s">
        <v>255</v>
      </c>
    </row>
    <row r="13" spans="1:25" s="60" customFormat="1" ht="45.75">
      <c r="A13" s="82" t="str">
        <f>'Deta_BitacoraDiaria_Muestreo '!G3</f>
        <v>Tiempo_Vuelo</v>
      </c>
      <c r="B13" s="64" t="s">
        <v>23</v>
      </c>
      <c r="C13" s="64"/>
      <c r="D13" s="64"/>
      <c r="E13" s="64"/>
      <c r="F13" s="64"/>
      <c r="G13" s="64"/>
      <c r="H13" s="64"/>
      <c r="I13" s="64"/>
      <c r="J13" s="67"/>
      <c r="K13" s="64"/>
      <c r="L13" s="65"/>
      <c r="M13" s="66" t="s">
        <v>9</v>
      </c>
      <c r="N13" s="66" t="s">
        <v>9</v>
      </c>
      <c r="O13" s="66" t="s">
        <v>14</v>
      </c>
      <c r="P13" s="66" t="s">
        <v>14</v>
      </c>
      <c r="Q13" s="66" t="s">
        <v>9</v>
      </c>
      <c r="R13" s="66" t="s">
        <v>9</v>
      </c>
      <c r="S13" s="66" t="s">
        <v>14</v>
      </c>
      <c r="T13" s="66" t="s">
        <v>14</v>
      </c>
      <c r="U13" s="93" t="str">
        <f>'Deta_BitacoraDiaria_Muestreo '!G2</f>
        <v>Corresponde a la fecha y hora en la que inicia el vuelo</v>
      </c>
      <c r="V13" s="584" t="s">
        <v>318</v>
      </c>
      <c r="W13" s="582" t="s">
        <v>254</v>
      </c>
      <c r="X13" s="582" t="s">
        <v>98</v>
      </c>
      <c r="Y13" s="582" t="s">
        <v>255</v>
      </c>
    </row>
    <row r="14" spans="1:25" s="60" customFormat="1" ht="45.75">
      <c r="A14" s="82" t="str">
        <f>'Deta_BitacoraDiaria_Muestreo '!H3</f>
        <v>Hora_Despegue</v>
      </c>
      <c r="B14" s="64" t="s">
        <v>23</v>
      </c>
      <c r="C14" s="64"/>
      <c r="D14" s="64"/>
      <c r="E14" s="64"/>
      <c r="F14" s="64"/>
      <c r="G14" s="64"/>
      <c r="H14" s="64"/>
      <c r="I14" s="64"/>
      <c r="J14" s="67"/>
      <c r="K14" s="64"/>
      <c r="L14" s="65"/>
      <c r="M14" s="66" t="s">
        <v>9</v>
      </c>
      <c r="N14" s="66" t="s">
        <v>9</v>
      </c>
      <c r="O14" s="66" t="s">
        <v>14</v>
      </c>
      <c r="P14" s="66" t="s">
        <v>14</v>
      </c>
      <c r="Q14" s="66" t="s">
        <v>9</v>
      </c>
      <c r="R14" s="66" t="s">
        <v>9</v>
      </c>
      <c r="S14" s="66" t="s">
        <v>14</v>
      </c>
      <c r="T14" s="66" t="s">
        <v>14</v>
      </c>
      <c r="U14" s="93" t="str">
        <f>'Deta_BitacoraDiaria_Muestreo '!H2</f>
        <v>Corresponde a la fecha y hora en la que se realiza el despegue</v>
      </c>
      <c r="V14" s="584" t="s">
        <v>318</v>
      </c>
      <c r="W14" s="582" t="s">
        <v>254</v>
      </c>
      <c r="X14" s="582" t="s">
        <v>98</v>
      </c>
      <c r="Y14" s="582" t="s">
        <v>255</v>
      </c>
    </row>
    <row r="15" spans="1:25" ht="45.75">
      <c r="A15" s="82" t="str">
        <f>'Deta_BitacoraDiaria_Muestreo '!I3</f>
        <v>Hora_Aterrizaje</v>
      </c>
      <c r="B15" s="64" t="s">
        <v>23</v>
      </c>
      <c r="C15" s="64"/>
      <c r="D15" s="64"/>
      <c r="E15" s="64"/>
      <c r="F15" s="64"/>
      <c r="G15" s="64"/>
      <c r="H15" s="64"/>
      <c r="I15" s="64"/>
      <c r="J15" s="67"/>
      <c r="K15" s="64"/>
      <c r="L15" s="65"/>
      <c r="M15" s="66" t="s">
        <v>9</v>
      </c>
      <c r="N15" s="66" t="s">
        <v>9</v>
      </c>
      <c r="O15" s="66" t="s">
        <v>14</v>
      </c>
      <c r="P15" s="66" t="s">
        <v>14</v>
      </c>
      <c r="Q15" s="66" t="s">
        <v>9</v>
      </c>
      <c r="R15" s="66" t="s">
        <v>9</v>
      </c>
      <c r="S15" s="66" t="s">
        <v>14</v>
      </c>
      <c r="T15" s="66" t="s">
        <v>14</v>
      </c>
      <c r="U15" s="93" t="str">
        <f>'Deta_BitacoraDiaria_Muestreo '!I2</f>
        <v>Corresponde a la fecha y hora en la que se realiza el aterrizaje</v>
      </c>
      <c r="V15" s="584" t="s">
        <v>318</v>
      </c>
      <c r="W15" s="582" t="s">
        <v>254</v>
      </c>
      <c r="X15" s="582" t="s">
        <v>98</v>
      </c>
      <c r="Y15" s="582" t="s">
        <v>255</v>
      </c>
    </row>
    <row r="16" spans="1:25" ht="45.75">
      <c r="A16" s="82" t="str">
        <f>'Deta_BitacoraDiaria_Muestreo '!J3</f>
        <v>Aterrizaje_y_desembarque</v>
      </c>
      <c r="B16" s="64" t="s">
        <v>23</v>
      </c>
      <c r="C16" s="64"/>
      <c r="D16" s="64"/>
      <c r="E16" s="64"/>
      <c r="F16" s="64"/>
      <c r="G16" s="64"/>
      <c r="H16" s="64"/>
      <c r="I16" s="64"/>
      <c r="J16" s="67"/>
      <c r="K16" s="64"/>
      <c r="L16" s="65"/>
      <c r="M16" s="66" t="s">
        <v>9</v>
      </c>
      <c r="N16" s="66" t="s">
        <v>9</v>
      </c>
      <c r="O16" s="66" t="s">
        <v>14</v>
      </c>
      <c r="P16" s="66" t="s">
        <v>14</v>
      </c>
      <c r="Q16" s="66" t="s">
        <v>9</v>
      </c>
      <c r="R16" s="66" t="s">
        <v>9</v>
      </c>
      <c r="S16" s="66" t="s">
        <v>14</v>
      </c>
      <c r="T16" s="66" t="s">
        <v>14</v>
      </c>
      <c r="U16" s="93" t="str">
        <f>'Deta_BitacoraDiaria_Muestreo '!J2</f>
        <v>Corresponde a la fecha y hora en la que se realiza el aterrizaje y desembarque</v>
      </c>
      <c r="V16" s="584" t="s">
        <v>318</v>
      </c>
      <c r="W16" s="582" t="s">
        <v>254</v>
      </c>
      <c r="X16" s="582" t="s">
        <v>98</v>
      </c>
      <c r="Y16" s="582" t="s">
        <v>255</v>
      </c>
    </row>
    <row r="17" spans="1:25" ht="45.75">
      <c r="A17" s="82" t="str">
        <f>'Deta_BitacoraDiaria_Muestreo '!K3</f>
        <v>PF</v>
      </c>
      <c r="B17" s="96" t="s">
        <v>34</v>
      </c>
      <c r="C17" s="64"/>
      <c r="D17" s="64"/>
      <c r="E17" s="64"/>
      <c r="F17" s="64"/>
      <c r="G17" s="64"/>
      <c r="H17" s="64"/>
      <c r="I17" s="64"/>
      <c r="J17" s="67"/>
      <c r="K17" s="64"/>
      <c r="L17" s="65"/>
      <c r="M17" s="66" t="s">
        <v>9</v>
      </c>
      <c r="N17" s="66" t="s">
        <v>9</v>
      </c>
      <c r="O17" s="66" t="s">
        <v>14</v>
      </c>
      <c r="P17" s="66" t="s">
        <v>14</v>
      </c>
      <c r="Q17" s="66" t="s">
        <v>9</v>
      </c>
      <c r="R17" s="66" t="s">
        <v>9</v>
      </c>
      <c r="S17" s="66" t="s">
        <v>14</v>
      </c>
      <c r="T17" s="66" t="s">
        <v>14</v>
      </c>
      <c r="U17" s="93" t="str">
        <f>'Deta_BitacoraDiaria_Muestreo '!K2</f>
        <v>Corresponde al nombre del empleado que realizo el vuelo</v>
      </c>
      <c r="V17" s="584" t="s">
        <v>318</v>
      </c>
      <c r="W17" s="582" t="s">
        <v>254</v>
      </c>
      <c r="X17" s="582" t="s">
        <v>98</v>
      </c>
      <c r="Y17" s="582" t="s">
        <v>255</v>
      </c>
    </row>
    <row r="18" spans="1:25" ht="45.75">
      <c r="A18" s="82" t="str">
        <f>'Deta_BitacoraDiaria_Muestreo '!L3</f>
        <v>PFL</v>
      </c>
      <c r="B18" s="96" t="s">
        <v>34</v>
      </c>
      <c r="C18" s="64"/>
      <c r="D18" s="64"/>
      <c r="E18" s="64"/>
      <c r="F18" s="64"/>
      <c r="G18" s="64"/>
      <c r="H18" s="64"/>
      <c r="I18" s="64"/>
      <c r="J18" s="67"/>
      <c r="K18" s="64"/>
      <c r="L18" s="65"/>
      <c r="M18" s="66" t="s">
        <v>9</v>
      </c>
      <c r="N18" s="66" t="s">
        <v>9</v>
      </c>
      <c r="O18" s="66" t="s">
        <v>14</v>
      </c>
      <c r="P18" s="66" t="s">
        <v>14</v>
      </c>
      <c r="Q18" s="66" t="s">
        <v>9</v>
      </c>
      <c r="R18" s="66" t="s">
        <v>9</v>
      </c>
      <c r="S18" s="66" t="s">
        <v>14</v>
      </c>
      <c r="T18" s="66" t="s">
        <v>14</v>
      </c>
      <c r="U18" s="93" t="str">
        <f>'Deta_BitacoraDiaria_Muestreo '!L2</f>
        <v>Corresponde al nombre del empleado que realizo el vuelo y aterrizo</v>
      </c>
      <c r="V18" s="584" t="s">
        <v>318</v>
      </c>
      <c r="W18" s="582" t="s">
        <v>254</v>
      </c>
      <c r="X18" s="582" t="s">
        <v>98</v>
      </c>
      <c r="Y18" s="582" t="s">
        <v>255</v>
      </c>
    </row>
    <row r="19" spans="1:25" ht="45.75">
      <c r="A19" s="82" t="str">
        <f>'Deta_BitacoraDiaria_Muestreo '!M3</f>
        <v>PFTO</v>
      </c>
      <c r="B19" s="96" t="s">
        <v>34</v>
      </c>
      <c r="C19" s="64"/>
      <c r="D19" s="64"/>
      <c r="E19" s="64"/>
      <c r="F19" s="64"/>
      <c r="G19" s="64"/>
      <c r="H19" s="64"/>
      <c r="I19" s="64"/>
      <c r="J19" s="67"/>
      <c r="K19" s="64"/>
      <c r="L19" s="65"/>
      <c r="M19" s="66" t="s">
        <v>9</v>
      </c>
      <c r="N19" s="66" t="s">
        <v>9</v>
      </c>
      <c r="O19" s="66" t="s">
        <v>14</v>
      </c>
      <c r="P19" s="66" t="s">
        <v>14</v>
      </c>
      <c r="Q19" s="66" t="s">
        <v>9</v>
      </c>
      <c r="R19" s="66" t="s">
        <v>9</v>
      </c>
      <c r="S19" s="66" t="s">
        <v>14</v>
      </c>
      <c r="T19" s="66" t="s">
        <v>14</v>
      </c>
      <c r="U19" s="93" t="str">
        <f>'Deta_BitacoraDiaria_Muestreo '!M2</f>
        <v>Corresponde al nombre del empleado que realizo el vuelo y el despegue</v>
      </c>
      <c r="V19" s="584" t="s">
        <v>318</v>
      </c>
      <c r="W19" s="582" t="s">
        <v>254</v>
      </c>
      <c r="X19" s="582" t="s">
        <v>98</v>
      </c>
      <c r="Y19" s="582" t="s">
        <v>255</v>
      </c>
    </row>
    <row r="20" spans="1:25" ht="45.75">
      <c r="A20" s="82" t="str">
        <f>'Deta_BitacoraDiaria_Muestreo '!N3</f>
        <v>PM</v>
      </c>
      <c r="B20" s="96" t="s">
        <v>34</v>
      </c>
      <c r="C20" s="64"/>
      <c r="D20" s="64"/>
      <c r="E20" s="64"/>
      <c r="F20" s="64"/>
      <c r="G20" s="64"/>
      <c r="H20" s="64"/>
      <c r="I20" s="64"/>
      <c r="J20" s="67"/>
      <c r="K20" s="64"/>
      <c r="L20" s="65"/>
      <c r="M20" s="66" t="s">
        <v>9</v>
      </c>
      <c r="N20" s="66" t="s">
        <v>9</v>
      </c>
      <c r="O20" s="66" t="s">
        <v>14</v>
      </c>
      <c r="P20" s="66" t="s">
        <v>14</v>
      </c>
      <c r="Q20" s="66" t="s">
        <v>9</v>
      </c>
      <c r="R20" s="66" t="s">
        <v>9</v>
      </c>
      <c r="S20" s="66" t="s">
        <v>14</v>
      </c>
      <c r="T20" s="66" t="s">
        <v>14</v>
      </c>
      <c r="U20" s="93" t="str">
        <f>'Deta_BitacoraDiaria_Muestreo '!N2</f>
        <v>Corresponde al nombre del empleado que monitorea todo durante el vuelo</v>
      </c>
      <c r="V20" s="584" t="s">
        <v>318</v>
      </c>
      <c r="W20" s="582" t="s">
        <v>254</v>
      </c>
      <c r="X20" s="582" t="s">
        <v>98</v>
      </c>
      <c r="Y20" s="582" t="s">
        <v>255</v>
      </c>
    </row>
    <row r="21" spans="1:25" ht="30.75">
      <c r="A21" s="82" t="str">
        <f>'Deta_BitacoraDiaria_Muestreo '!O3</f>
        <v>Capitán</v>
      </c>
      <c r="B21" s="96" t="s">
        <v>40</v>
      </c>
      <c r="C21" s="64"/>
      <c r="D21" s="64"/>
      <c r="E21" s="64"/>
      <c r="F21" s="64"/>
      <c r="G21" s="64"/>
      <c r="H21" s="64"/>
      <c r="I21" s="64"/>
      <c r="J21" s="67"/>
      <c r="K21" s="64"/>
      <c r="L21" s="65"/>
      <c r="M21" s="66" t="s">
        <v>9</v>
      </c>
      <c r="N21" s="66" t="s">
        <v>9</v>
      </c>
      <c r="O21" s="66" t="s">
        <v>14</v>
      </c>
      <c r="P21" s="66" t="s">
        <v>14</v>
      </c>
      <c r="Q21" s="66" t="s">
        <v>9</v>
      </c>
      <c r="R21" s="66" t="s">
        <v>9</v>
      </c>
      <c r="S21" s="66" t="s">
        <v>14</v>
      </c>
      <c r="T21" s="66" t="s">
        <v>14</v>
      </c>
      <c r="U21" s="93" t="str">
        <f>'Deta_BitacoraDiaria_Muestreo '!O2</f>
        <v xml:space="preserve">Corresponde al nombre del Capitán </v>
      </c>
      <c r="V21" s="584" t="s">
        <v>319</v>
      </c>
      <c r="W21" s="582" t="s">
        <v>254</v>
      </c>
      <c r="X21" s="582" t="s">
        <v>98</v>
      </c>
      <c r="Y21" s="582" t="s">
        <v>255</v>
      </c>
    </row>
    <row r="22" spans="1:25" ht="30.75">
      <c r="A22" s="82" t="str">
        <f>'Deta_BitacoraDiaria_Muestreo '!P3</f>
        <v>Copiloto</v>
      </c>
      <c r="B22" s="96" t="s">
        <v>40</v>
      </c>
      <c r="C22" s="64"/>
      <c r="D22" s="64"/>
      <c r="E22" s="64"/>
      <c r="F22" s="64"/>
      <c r="G22" s="64"/>
      <c r="H22" s="64"/>
      <c r="I22" s="64"/>
      <c r="J22" s="67"/>
      <c r="K22" s="64"/>
      <c r="L22" s="65"/>
      <c r="M22" s="66" t="s">
        <v>9</v>
      </c>
      <c r="N22" s="66" t="s">
        <v>9</v>
      </c>
      <c r="O22" s="66" t="s">
        <v>14</v>
      </c>
      <c r="P22" s="66" t="s">
        <v>14</v>
      </c>
      <c r="Q22" s="66" t="s">
        <v>9</v>
      </c>
      <c r="R22" s="66" t="s">
        <v>9</v>
      </c>
      <c r="S22" s="66" t="s">
        <v>14</v>
      </c>
      <c r="T22" s="66" t="s">
        <v>14</v>
      </c>
      <c r="U22" s="93" t="str">
        <f>'Deta_BitacoraDiaria_Muestreo '!P2</f>
        <v>Corresponde al nombre del copiloto</v>
      </c>
      <c r="V22" s="584" t="s">
        <v>319</v>
      </c>
      <c r="W22" s="582" t="s">
        <v>254</v>
      </c>
      <c r="X22" s="582" t="s">
        <v>98</v>
      </c>
      <c r="Y22" s="582" t="s">
        <v>255</v>
      </c>
    </row>
    <row r="23" spans="1:25" ht="45.75">
      <c r="A23" s="82" t="str">
        <f>'Deta_BitacoraDiaria_Muestreo '!Q3</f>
        <v>Air</v>
      </c>
      <c r="B23" s="64" t="s">
        <v>43</v>
      </c>
      <c r="C23" s="64"/>
      <c r="D23" s="64"/>
      <c r="E23" s="64"/>
      <c r="F23" s="64"/>
      <c r="G23" s="64"/>
      <c r="H23" s="64"/>
      <c r="I23" s="64"/>
      <c r="J23" s="67"/>
      <c r="K23" s="64"/>
      <c r="L23" s="65"/>
      <c r="M23" s="66" t="s">
        <v>9</v>
      </c>
      <c r="N23" s="66" t="s">
        <v>9</v>
      </c>
      <c r="O23" s="66" t="s">
        <v>14</v>
      </c>
      <c r="P23" s="66" t="s">
        <v>14</v>
      </c>
      <c r="Q23" s="66" t="s">
        <v>9</v>
      </c>
      <c r="R23" s="66" t="s">
        <v>9</v>
      </c>
      <c r="S23" s="66" t="s">
        <v>14</v>
      </c>
      <c r="T23" s="66" t="s">
        <v>14</v>
      </c>
      <c r="U23" s="93" t="str">
        <f>'Deta_BitacoraDiaria_Muestreo '!Q2</f>
        <v>Corresponde al tiempo desde el despegue hasta el aterrizaje</v>
      </c>
      <c r="V23" s="584" t="s">
        <v>318</v>
      </c>
      <c r="W23" s="582" t="s">
        <v>254</v>
      </c>
      <c r="X23" s="582" t="s">
        <v>98</v>
      </c>
      <c r="Y23" s="582" t="s">
        <v>255</v>
      </c>
    </row>
    <row r="24" spans="1:25" ht="45.75">
      <c r="A24" s="82" t="str">
        <f>'Deta_BitacoraDiaria_Muestreo '!R3</f>
        <v>Block</v>
      </c>
      <c r="B24" s="64" t="s">
        <v>43</v>
      </c>
      <c r="C24" s="64"/>
      <c r="D24" s="64"/>
      <c r="E24" s="64"/>
      <c r="F24" s="64"/>
      <c r="G24" s="64"/>
      <c r="H24" s="64"/>
      <c r="I24" s="64"/>
      <c r="J24" s="67"/>
      <c r="K24" s="64"/>
      <c r="L24" s="65"/>
      <c r="M24" s="66" t="s">
        <v>9</v>
      </c>
      <c r="N24" s="66" t="s">
        <v>9</v>
      </c>
      <c r="O24" s="66" t="s">
        <v>14</v>
      </c>
      <c r="P24" s="66" t="s">
        <v>14</v>
      </c>
      <c r="Q24" s="66" t="s">
        <v>9</v>
      </c>
      <c r="R24" s="66" t="s">
        <v>9</v>
      </c>
      <c r="S24" s="66" t="s">
        <v>14</v>
      </c>
      <c r="T24" s="66" t="s">
        <v>14</v>
      </c>
      <c r="U24" s="93" t="str">
        <f>'Deta_BitacoraDiaria_Muestreo '!R2</f>
        <v xml:space="preserve">Corresponde al tiempo desde el remolque hasta el parqueo </v>
      </c>
      <c r="V24" s="584" t="s">
        <v>318</v>
      </c>
      <c r="W24" s="582" t="s">
        <v>254</v>
      </c>
      <c r="X24" s="582" t="s">
        <v>98</v>
      </c>
      <c r="Y24" s="582" t="s">
        <v>255</v>
      </c>
    </row>
    <row r="29" spans="1:25">
      <c r="A29" s="733" t="s">
        <v>106</v>
      </c>
      <c r="B29" s="734"/>
      <c r="C29" s="735"/>
    </row>
    <row r="30" spans="1:25">
      <c r="A30" s="70" t="s">
        <v>107</v>
      </c>
      <c r="B30" s="71" t="s">
        <v>49</v>
      </c>
      <c r="C30" s="72" t="s">
        <v>108</v>
      </c>
    </row>
    <row r="31" spans="1:25">
      <c r="A31" s="755" t="s">
        <v>110</v>
      </c>
      <c r="B31" s="757" t="s">
        <v>320</v>
      </c>
      <c r="C31" s="138" t="str">
        <f>A9</f>
        <v>Vuelo</v>
      </c>
    </row>
    <row r="32" spans="1:25">
      <c r="A32" s="756"/>
      <c r="B32" s="758"/>
      <c r="C32" s="138" t="str">
        <f>A11</f>
        <v>Matricula Real</v>
      </c>
    </row>
    <row r="35" spans="1:12">
      <c r="A35" s="530" t="s">
        <v>111</v>
      </c>
      <c r="B35" s="531" t="s">
        <v>49</v>
      </c>
      <c r="C35" s="532"/>
      <c r="D35" s="533" t="s">
        <v>112</v>
      </c>
      <c r="E35" s="531"/>
      <c r="F35" s="532"/>
      <c r="G35" s="533" t="s">
        <v>113</v>
      </c>
      <c r="H35" s="767" t="s">
        <v>114</v>
      </c>
      <c r="I35" s="768"/>
      <c r="J35" s="769" t="s">
        <v>115</v>
      </c>
      <c r="K35" s="770"/>
    </row>
    <row r="36" spans="1:12" ht="15" customHeight="1">
      <c r="A36" s="535"/>
      <c r="B36" s="536"/>
      <c r="C36" s="532" t="s">
        <v>116</v>
      </c>
      <c r="D36" s="537" t="s">
        <v>117</v>
      </c>
      <c r="E36" s="534" t="s">
        <v>49</v>
      </c>
      <c r="F36" s="538" t="s">
        <v>77</v>
      </c>
      <c r="G36" s="534" t="s">
        <v>49</v>
      </c>
      <c r="H36" s="538" t="s">
        <v>118</v>
      </c>
      <c r="I36" s="531" t="s">
        <v>49</v>
      </c>
      <c r="J36" s="530" t="s">
        <v>119</v>
      </c>
      <c r="K36" s="538" t="s">
        <v>120</v>
      </c>
      <c r="L36" s="571"/>
    </row>
    <row r="37" spans="1:12" ht="152.25" customHeight="1">
      <c r="A37" s="390" t="s">
        <v>321</v>
      </c>
      <c r="B37" s="165" t="s">
        <v>322</v>
      </c>
      <c r="C37" s="539" t="s">
        <v>323</v>
      </c>
      <c r="D37" s="504" t="s">
        <v>324</v>
      </c>
      <c r="E37" s="540" t="s">
        <v>261</v>
      </c>
      <c r="F37" s="539"/>
      <c r="G37" s="504"/>
      <c r="H37" s="253" t="s">
        <v>325</v>
      </c>
      <c r="I37" s="167" t="s">
        <v>326</v>
      </c>
      <c r="J37" s="165" t="s">
        <v>129</v>
      </c>
      <c r="K37" s="246" t="s">
        <v>130</v>
      </c>
    </row>
    <row r="38" spans="1:12" ht="59.25" customHeight="1">
      <c r="A38" s="517"/>
      <c r="B38" s="541"/>
      <c r="C38" s="250"/>
      <c r="D38" s="250"/>
      <c r="E38" s="164"/>
      <c r="F38" s="503"/>
      <c r="G38" s="225"/>
      <c r="H38" s="164" t="s">
        <v>327</v>
      </c>
      <c r="I38" s="318" t="s">
        <v>328</v>
      </c>
      <c r="J38" s="256" t="s">
        <v>129</v>
      </c>
      <c r="K38" s="542" t="s">
        <v>130</v>
      </c>
    </row>
    <row r="39" spans="1:12" ht="90" customHeight="1">
      <c r="A39" s="517"/>
      <c r="B39" s="541"/>
      <c r="C39" s="250"/>
      <c r="D39" s="250"/>
      <c r="E39" s="164"/>
      <c r="F39" s="503"/>
      <c r="G39" s="164"/>
      <c r="H39" s="255" t="s">
        <v>329</v>
      </c>
      <c r="I39" s="519" t="s">
        <v>185</v>
      </c>
      <c r="J39" s="255" t="s">
        <v>129</v>
      </c>
      <c r="K39" s="516" t="s">
        <v>130</v>
      </c>
    </row>
    <row r="40" spans="1:12" ht="27">
      <c r="A40" s="517"/>
      <c r="B40" s="541"/>
      <c r="C40" s="250"/>
      <c r="D40" s="250"/>
      <c r="E40" s="164"/>
      <c r="F40" s="503"/>
      <c r="G40" s="225"/>
      <c r="H40" s="171" t="s">
        <v>330</v>
      </c>
      <c r="I40" s="171" t="s">
        <v>331</v>
      </c>
      <c r="J40" s="171" t="s">
        <v>276</v>
      </c>
      <c r="K40" s="516" t="s">
        <v>277</v>
      </c>
    </row>
    <row r="41" spans="1:12">
      <c r="A41" s="517"/>
      <c r="B41" s="543"/>
      <c r="C41" s="503"/>
      <c r="D41" s="250"/>
      <c r="E41" s="164"/>
      <c r="F41" s="424"/>
      <c r="G41" s="191"/>
      <c r="H41" s="316"/>
      <c r="I41" s="316"/>
      <c r="J41" s="316"/>
      <c r="K41" s="544"/>
    </row>
    <row r="42" spans="1:12" ht="136.5" customHeight="1">
      <c r="A42" s="496" t="s">
        <v>332</v>
      </c>
      <c r="B42" s="545" t="s">
        <v>333</v>
      </c>
      <c r="C42" s="171" t="s">
        <v>123</v>
      </c>
      <c r="D42" s="171" t="s">
        <v>324</v>
      </c>
      <c r="E42" s="546" t="s">
        <v>261</v>
      </c>
      <c r="F42" s="547" t="s">
        <v>334</v>
      </c>
      <c r="G42" s="548" t="s">
        <v>335</v>
      </c>
      <c r="H42" s="225" t="s">
        <v>336</v>
      </c>
      <c r="I42" s="225" t="s">
        <v>128</v>
      </c>
      <c r="J42" s="164" t="s">
        <v>129</v>
      </c>
      <c r="K42" s="424" t="s">
        <v>130</v>
      </c>
    </row>
    <row r="43" spans="1:12">
      <c r="A43" s="512"/>
      <c r="B43" s="503"/>
      <c r="C43" s="549"/>
      <c r="D43" s="549"/>
      <c r="E43" s="550"/>
      <c r="F43" s="551"/>
      <c r="G43" s="519"/>
      <c r="H43" s="164"/>
      <c r="I43" s="191"/>
      <c r="J43" s="164"/>
      <c r="K43" s="424"/>
    </row>
    <row r="44" spans="1:12" ht="43.5" customHeight="1">
      <c r="A44" s="512"/>
      <c r="B44" s="503"/>
      <c r="C44" s="549"/>
      <c r="D44" s="549"/>
      <c r="E44" s="550"/>
      <c r="F44" s="551"/>
      <c r="G44" s="519"/>
      <c r="H44" s="164"/>
      <c r="I44" s="191"/>
      <c r="J44" s="164"/>
      <c r="K44" s="173"/>
    </row>
    <row r="45" spans="1:12" ht="43.5" customHeight="1">
      <c r="A45" s="512"/>
      <c r="B45" s="503"/>
      <c r="C45" s="549"/>
      <c r="D45" s="549"/>
      <c r="E45" s="550"/>
      <c r="F45" s="551"/>
      <c r="G45" s="519"/>
      <c r="H45" s="256"/>
      <c r="I45" s="191"/>
      <c r="J45" s="256"/>
      <c r="K45" s="552"/>
    </row>
    <row r="46" spans="1:12" ht="51.75" customHeight="1">
      <c r="A46" s="764" t="s">
        <v>337</v>
      </c>
      <c r="B46" s="764" t="s">
        <v>338</v>
      </c>
      <c r="C46" s="773" t="s">
        <v>142</v>
      </c>
      <c r="D46" s="773" t="s">
        <v>17</v>
      </c>
      <c r="E46" s="764" t="s">
        <v>339</v>
      </c>
      <c r="F46" s="761"/>
      <c r="G46" s="764"/>
      <c r="H46" s="191" t="s">
        <v>340</v>
      </c>
      <c r="I46" s="255" t="s">
        <v>326</v>
      </c>
      <c r="J46" s="552" t="s">
        <v>129</v>
      </c>
      <c r="K46" s="387" t="s">
        <v>130</v>
      </c>
    </row>
    <row r="47" spans="1:12" ht="67.5">
      <c r="A47" s="771"/>
      <c r="B47" s="771"/>
      <c r="C47" s="774"/>
      <c r="D47" s="774"/>
      <c r="E47" s="771"/>
      <c r="F47" s="762"/>
      <c r="G47" s="765"/>
      <c r="H47" s="253" t="s">
        <v>329</v>
      </c>
      <c r="I47" s="528" t="s">
        <v>185</v>
      </c>
      <c r="J47" s="552" t="s">
        <v>129</v>
      </c>
      <c r="K47" s="387" t="s">
        <v>130</v>
      </c>
    </row>
    <row r="48" spans="1:12" ht="40.5">
      <c r="A48" s="772"/>
      <c r="B48" s="772"/>
      <c r="C48" s="775"/>
      <c r="D48" s="775"/>
      <c r="E48" s="772"/>
      <c r="F48" s="763"/>
      <c r="G48" s="766"/>
      <c r="H48" s="504" t="s">
        <v>327</v>
      </c>
      <c r="I48" s="529" t="s">
        <v>328</v>
      </c>
      <c r="J48" s="552" t="s">
        <v>129</v>
      </c>
      <c r="K48" s="387" t="s">
        <v>130</v>
      </c>
    </row>
    <row r="49" spans="1:11" ht="109.5" customHeight="1">
      <c r="A49" s="517" t="s">
        <v>341</v>
      </c>
      <c r="B49" s="225" t="s">
        <v>342</v>
      </c>
      <c r="C49" s="250" t="s">
        <v>142</v>
      </c>
      <c r="D49" s="512" t="s">
        <v>17</v>
      </c>
      <c r="E49" s="554" t="s">
        <v>343</v>
      </c>
      <c r="F49" s="555"/>
      <c r="G49" s="556"/>
      <c r="H49" s="246" t="s">
        <v>329</v>
      </c>
      <c r="I49" s="527" t="s">
        <v>185</v>
      </c>
      <c r="J49" s="173" t="s">
        <v>129</v>
      </c>
      <c r="K49" s="424" t="s">
        <v>130</v>
      </c>
    </row>
    <row r="50" spans="1:11" ht="40.5">
      <c r="A50" s="316"/>
      <c r="B50" s="316"/>
      <c r="C50" s="557"/>
      <c r="D50" s="553"/>
      <c r="E50" s="558"/>
      <c r="F50" s="559"/>
      <c r="G50" s="560"/>
      <c r="H50" s="444" t="s">
        <v>344</v>
      </c>
      <c r="I50" s="165" t="s">
        <v>345</v>
      </c>
      <c r="J50" s="203" t="s">
        <v>129</v>
      </c>
      <c r="K50" s="561" t="s">
        <v>130</v>
      </c>
    </row>
  </sheetData>
  <mergeCells count="16">
    <mergeCell ref="F46:F48"/>
    <mergeCell ref="G46:G48"/>
    <mergeCell ref="H35:I35"/>
    <mergeCell ref="J35:K35"/>
    <mergeCell ref="B2:U2"/>
    <mergeCell ref="B3:U3"/>
    <mergeCell ref="B4:U4"/>
    <mergeCell ref="B5:U5"/>
    <mergeCell ref="A29:C29"/>
    <mergeCell ref="A31:A32"/>
    <mergeCell ref="B31:B32"/>
    <mergeCell ref="A46:A48"/>
    <mergeCell ref="B46:B48"/>
    <mergeCell ref="C46:C48"/>
    <mergeCell ref="D46:D48"/>
    <mergeCell ref="E46:E48"/>
  </mergeCells>
  <phoneticPr fontId="10" type="noConversion"/>
  <hyperlinks>
    <hyperlink ref="C1" location="Fabricante_Muestreo!A1" display="&lt;&lt; Muestreo Datos" xr:uid="{E447DAC0-7C69-4C3D-86CE-051EDDB7750B}"/>
    <hyperlink ref="A1" location="'Modelo Dominio Anémico'!A1" display="&lt;&lt; Modelo de dominio &gt;&gt;" xr:uid="{CB8B9E37-C511-4D65-A80E-892F4BCF3927}"/>
    <hyperlink ref="B1" location="'Objetos Dominio'!A1" display="&lt;&lt; Objetos de dominio" xr:uid="{7FAE1F7D-7540-4BC3-8D8C-99B7D5130AD5}"/>
    <hyperlink ref="B9" location="Vuelo_Caracterizacion!A1" display="Vuelo" xr:uid="{82A7F0BF-8593-4215-8C96-EDFAFA4AB222}"/>
    <hyperlink ref="B11" location="Matricula_Caracterización!A1" display="Matricula" xr:uid="{7604D5A4-CC62-40ED-94E7-3181E9646E97}"/>
    <hyperlink ref="B21" location="EmpleadoAerolinea_Caracterizac!A1" display="EmpleadoAerolinea" xr:uid="{E962910F-B5AD-418A-A9DC-5C6E1ECDBB86}"/>
    <hyperlink ref="B22" location="EmpleadoAerolinea_Caracterizac!A1" display="EmpleadoAerolinea" xr:uid="{A576D79C-4FD0-4569-8C65-E76313AE1033}"/>
    <hyperlink ref="B8" location="'BitacoraDiaria_Caracterización '!A1" display="Bitacora Vuelo" xr:uid="{00FFE0FE-81FF-4059-8E47-625E7C1E4E97}"/>
    <hyperlink ref="B17" location="TipoIntegrante_Caracterización!A1" display="Tipo Integrante" xr:uid="{6E297B84-4766-42C6-A096-9ECBBCCDC507}"/>
    <hyperlink ref="B18" location="TipoIntegrante_Caracterización!A1" display="Tipo Integrante" xr:uid="{BAAE748E-A08D-4DBD-8EA0-F1B4AB1DE729}"/>
    <hyperlink ref="B19" location="TipoIntegrante_Caracterización!A1" display="Tipo Integrante" xr:uid="{488BDEB8-87B5-4DD8-A67D-DFA5F1F90C63}"/>
    <hyperlink ref="B20" location="TipoIntegrante_Caracterización!A1" display="Tipo Integrante" xr:uid="{8D84D1B2-6CB3-4CC3-8CEC-5B9279EB0C91}"/>
    <hyperlink ref="C31" location="Det_BitacoraDia_Caracterización!A9" display="Det_BitacoraDia_Caracterización!A9" xr:uid="{12F9DA78-6E38-4674-A75E-C2FEF3AF581D}"/>
    <hyperlink ref="C32" location="Det_BitacoraDia_Caracterización!A11" display="Det_BitacoraDia_Caracterización!A11" xr:uid="{AC9C22D6-643E-42FC-84E7-3AF756D59962}"/>
    <hyperlink ref="V6" location="Objeto Dominio 2!A16" display="Registrar Información  Horario Sede" xr:uid="{A7826431-08DB-449D-8B89-310D6AAE1287}"/>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1B664FE-8EBC-4882-A2CC-3ED044CA065E}">
          <x14:formula1>
            <xm:f>Valores!$E$2:$E$33</xm:f>
          </x14:formula1>
          <xm:sqref>B7:B24</xm:sqref>
        </x14:dataValidation>
        <x14:dataValidation type="list" allowBlank="1" showInputMessage="1" showErrorMessage="1" xr:uid="{73ADC0CC-3E70-4085-A65B-F4F21E5204A3}">
          <x14:formula1>
            <xm:f>Valores!$F$2:$F$4</xm:f>
          </x14:formula1>
          <xm:sqref>G7</xm:sqref>
        </x14:dataValidation>
        <x14:dataValidation type="list" allowBlank="1" showInputMessage="1" showErrorMessage="1" xr:uid="{6264DDE5-AF1B-4192-BF8F-436BFC1E7953}">
          <x14:formula1>
            <xm:f>Valores!$D$2:$D$3</xm:f>
          </x14:formula1>
          <xm:sqref>M7:T24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467F3-5DBC-4629-A014-8B279B1FE1D7}">
  <sheetPr>
    <tabColor theme="5" tint="-0.499984740745262"/>
  </sheetPr>
  <dimension ref="A1:S170"/>
  <sheetViews>
    <sheetView workbookViewId="0">
      <pane ySplit="3" topLeftCell="P4" activePane="bottomLeft" state="frozen"/>
      <selection pane="bottomLeft" activeCell="S16" sqref="S16:S17"/>
    </sheetView>
  </sheetViews>
  <sheetFormatPr defaultColWidth="10.85546875" defaultRowHeight="14.45"/>
  <cols>
    <col min="1" max="1" width="51.42578125" style="29" customWidth="1"/>
    <col min="2" max="2" width="46" style="29" bestFit="1" customWidth="1"/>
    <col min="3" max="3" width="33.85546875" style="4" customWidth="1"/>
    <col min="4" max="4" width="42.42578125" style="4" customWidth="1"/>
    <col min="5" max="5" width="24.140625" style="4" bestFit="1" customWidth="1"/>
    <col min="6" max="6" width="10.85546875" style="4"/>
    <col min="7" max="7" width="17.140625" style="4" bestFit="1" customWidth="1"/>
    <col min="8" max="9" width="14.85546875" style="4" bestFit="1" customWidth="1"/>
    <col min="10" max="10" width="24.85546875" style="4" customWidth="1"/>
    <col min="11" max="14" width="10.85546875" style="4"/>
    <col min="15" max="15" width="32.140625" style="4" bestFit="1" customWidth="1"/>
    <col min="16" max="16" width="37.5703125" style="4" bestFit="1" customWidth="1"/>
    <col min="17" max="18" width="10.85546875" style="4"/>
    <col min="19" max="19" width="33" style="4" customWidth="1"/>
    <col min="20" max="16384" width="10.85546875" style="4"/>
  </cols>
  <sheetData>
    <row r="1" spans="1:19" customFormat="1" ht="15" thickBot="1">
      <c r="A1" s="58" t="s">
        <v>46</v>
      </c>
      <c r="B1" s="69" t="s">
        <v>74</v>
      </c>
      <c r="C1" s="4"/>
      <c r="S1" s="69" t="s">
        <v>145</v>
      </c>
    </row>
    <row r="2" spans="1:19" s="1" customFormat="1" ht="69.75">
      <c r="A2" s="31" t="s">
        <v>346</v>
      </c>
      <c r="B2" s="32" t="s">
        <v>347</v>
      </c>
      <c r="C2" s="32" t="s">
        <v>348</v>
      </c>
      <c r="D2" s="32" t="s">
        <v>349</v>
      </c>
      <c r="E2" s="32" t="s">
        <v>350</v>
      </c>
      <c r="F2" s="32" t="s">
        <v>351</v>
      </c>
      <c r="G2" s="32" t="s">
        <v>352</v>
      </c>
      <c r="H2" s="32" t="s">
        <v>353</v>
      </c>
      <c r="I2" s="32" t="s">
        <v>354</v>
      </c>
      <c r="J2" s="32" t="s">
        <v>355</v>
      </c>
      <c r="K2" s="32" t="s">
        <v>356</v>
      </c>
      <c r="L2" s="32" t="s">
        <v>357</v>
      </c>
      <c r="M2" s="32" t="s">
        <v>358</v>
      </c>
      <c r="N2" s="32" t="s">
        <v>359</v>
      </c>
      <c r="O2" s="32" t="s">
        <v>360</v>
      </c>
      <c r="P2" s="32" t="s">
        <v>361</v>
      </c>
      <c r="Q2" s="32" t="s">
        <v>362</v>
      </c>
      <c r="R2" s="32" t="s">
        <v>363</v>
      </c>
      <c r="S2" s="24" t="s">
        <v>364</v>
      </c>
    </row>
    <row r="3" spans="1:19" s="28" customFormat="1">
      <c r="A3" s="50" t="s">
        <v>133</v>
      </c>
      <c r="B3" s="129" t="s">
        <v>45</v>
      </c>
      <c r="C3" s="129" t="s">
        <v>30</v>
      </c>
      <c r="D3" s="51" t="s">
        <v>365</v>
      </c>
      <c r="E3" s="129" t="s">
        <v>366</v>
      </c>
      <c r="F3" s="51" t="s">
        <v>367</v>
      </c>
      <c r="G3" s="51" t="s">
        <v>368</v>
      </c>
      <c r="H3" s="51" t="s">
        <v>369</v>
      </c>
      <c r="I3" s="51" t="s">
        <v>370</v>
      </c>
      <c r="J3" s="51" t="s">
        <v>371</v>
      </c>
      <c r="K3" s="51" t="s">
        <v>372</v>
      </c>
      <c r="L3" s="51" t="s">
        <v>373</v>
      </c>
      <c r="M3" s="51" t="s">
        <v>374</v>
      </c>
      <c r="N3" s="51" t="s">
        <v>375</v>
      </c>
      <c r="O3" s="51" t="s">
        <v>376</v>
      </c>
      <c r="P3" s="51" t="s">
        <v>377</v>
      </c>
      <c r="Q3" s="51" t="s">
        <v>378</v>
      </c>
      <c r="R3" s="51" t="s">
        <v>379</v>
      </c>
      <c r="S3" s="26" t="s">
        <v>380</v>
      </c>
    </row>
    <row r="4" spans="1:19">
      <c r="A4" s="46" t="s">
        <v>310</v>
      </c>
      <c r="B4" s="7" t="str">
        <f>'BitacoraDiaria_Muestreo '!F4</f>
        <v>Latam Airlines-4472021-01/01/AA</v>
      </c>
      <c r="C4" s="7" t="str">
        <f>'Vuelo_Muestreo '!E4</f>
        <v>4061-BOG-CLO-AV-01/01/AA</v>
      </c>
      <c r="D4" s="126">
        <v>45292.680555555555</v>
      </c>
      <c r="E4" s="134" t="str">
        <f>Matricula_Muestreo!B4</f>
        <v>CC-BAQ</v>
      </c>
      <c r="F4" s="130" t="s">
        <v>381</v>
      </c>
      <c r="G4" s="133">
        <v>45292.073611111111</v>
      </c>
      <c r="H4" s="133">
        <v>45292.09375</v>
      </c>
      <c r="I4" s="133">
        <v>45292.117361111108</v>
      </c>
      <c r="J4" s="133">
        <v>45292.120833333334</v>
      </c>
      <c r="K4" s="7" t="str">
        <f>TipoIntegrante_Muestreo!C5</f>
        <v>Copiloto</v>
      </c>
      <c r="L4" s="7" t="str">
        <f>TipoIntegrante_Muestreo!C4</f>
        <v xml:space="preserve">Capitán </v>
      </c>
      <c r="M4" s="7" t="str">
        <f>TipoIntegrante_Muestreo!C4</f>
        <v xml:space="preserve">Capitán </v>
      </c>
      <c r="N4" s="7" t="str">
        <f>TipoIntegrante_Muestreo!C5</f>
        <v>Copiloto</v>
      </c>
      <c r="O4" s="135" t="str">
        <f>EmpleadoAerolinea_Muestreo!I4</f>
        <v>Latam Airlines-4472021</v>
      </c>
      <c r="P4" s="7" t="str">
        <f>EmpleadoAerolinea_Muestreo!I23</f>
        <v>Latam Airlines-1036952691</v>
      </c>
      <c r="Q4" s="6" t="str">
        <f>TEXT(I4-H4,"h:mm")</f>
        <v>0:34</v>
      </c>
      <c r="R4" s="6" t="str">
        <f>TEXT(J4-G4,"h:mm")</f>
        <v>1:08</v>
      </c>
      <c r="S4" s="136" t="str">
        <f>_xlfn.CONCAT(C4)&amp;" "&amp;E4</f>
        <v>4061-BOG-CLO-AV-01/01/AA CC-BAQ</v>
      </c>
    </row>
    <row r="5" spans="1:19">
      <c r="A5" s="4"/>
      <c r="R5" s="4" t="s">
        <v>382</v>
      </c>
    </row>
    <row r="6" spans="1:19">
      <c r="A6" s="4"/>
      <c r="B6" s="4"/>
      <c r="D6" s="132"/>
    </row>
    <row r="7" spans="1:19">
      <c r="A7" s="4"/>
      <c r="B7" s="4"/>
      <c r="G7" s="132"/>
      <c r="K7" s="4" t="s">
        <v>383</v>
      </c>
      <c r="O7" s="4" t="s">
        <v>384</v>
      </c>
      <c r="Q7" s="4" t="s">
        <v>385</v>
      </c>
    </row>
    <row r="8" spans="1:19">
      <c r="A8" s="4"/>
      <c r="B8" s="4"/>
    </row>
    <row r="9" spans="1:19">
      <c r="A9" s="4"/>
      <c r="B9" s="4"/>
    </row>
    <row r="10" spans="1:19">
      <c r="A10" s="4"/>
      <c r="B10" s="4"/>
    </row>
    <row r="11" spans="1:19">
      <c r="A11" s="4"/>
      <c r="B11" s="4"/>
    </row>
    <row r="12" spans="1:19">
      <c r="A12" s="4"/>
      <c r="B12" s="4"/>
    </row>
    <row r="13" spans="1:19">
      <c r="A13" s="4"/>
      <c r="B13" s="4"/>
      <c r="G13" s="132"/>
    </row>
    <row r="14" spans="1:19">
      <c r="A14" s="4"/>
      <c r="B14" s="4"/>
    </row>
    <row r="15" spans="1:19">
      <c r="A15" s="4"/>
      <c r="B15" s="4"/>
    </row>
    <row r="16" spans="1:19">
      <c r="A16" s="4"/>
      <c r="B16" s="4"/>
    </row>
    <row r="17" s="4" customFormat="1"/>
    <row r="18" s="4" customFormat="1"/>
    <row r="19" s="4" customFormat="1"/>
    <row r="20" s="4" customFormat="1"/>
    <row r="21" s="4" customFormat="1"/>
    <row r="22" s="4" customFormat="1"/>
    <row r="23" s="4" customFormat="1"/>
    <row r="24" s="4" customFormat="1"/>
    <row r="25" s="4" customFormat="1"/>
    <row r="26" s="4" customFormat="1"/>
    <row r="27" s="4" customFormat="1"/>
    <row r="28" s="4" customFormat="1"/>
    <row r="29" s="4" customFormat="1"/>
    <row r="30" s="4" customFormat="1"/>
    <row r="31" s="4" customFormat="1"/>
    <row r="32" s="4" customFormat="1"/>
    <row r="33" s="4" customFormat="1"/>
    <row r="34" s="4" customFormat="1"/>
    <row r="35" s="4" customFormat="1"/>
    <row r="36" s="4" customFormat="1"/>
    <row r="37" s="4" customFormat="1"/>
    <row r="38" s="4" customFormat="1"/>
    <row r="39" s="4" customFormat="1"/>
    <row r="40" s="4" customFormat="1"/>
    <row r="41" s="4" customFormat="1"/>
    <row r="42" s="4" customFormat="1"/>
    <row r="43" s="4" customFormat="1"/>
    <row r="44" s="4" customFormat="1"/>
    <row r="45" s="4" customFormat="1"/>
    <row r="46" s="4" customFormat="1"/>
    <row r="47" s="4" customFormat="1"/>
    <row r="48" s="4" customFormat="1"/>
    <row r="49" s="4" customFormat="1"/>
    <row r="50" s="4" customFormat="1"/>
    <row r="51" s="4" customFormat="1"/>
    <row r="52" s="4" customFormat="1"/>
    <row r="53" s="4" customFormat="1"/>
    <row r="54" s="4" customFormat="1"/>
    <row r="55" s="4" customFormat="1"/>
    <row r="56" s="4" customFormat="1"/>
    <row r="57" s="4" customFormat="1"/>
    <row r="58" s="4" customFormat="1"/>
    <row r="59" s="4" customFormat="1"/>
    <row r="60" s="4" customFormat="1"/>
    <row r="61" s="4" customFormat="1"/>
    <row r="62" s="4" customFormat="1"/>
    <row r="63" s="4" customFormat="1"/>
    <row r="64" s="4" customFormat="1"/>
    <row r="65" s="4" customFormat="1"/>
    <row r="66" s="4" customFormat="1"/>
    <row r="67" s="4" customFormat="1"/>
    <row r="68" s="4" customFormat="1"/>
    <row r="69" s="4" customFormat="1"/>
    <row r="70" s="4" customFormat="1"/>
    <row r="71" s="4" customFormat="1"/>
    <row r="72" s="4" customFormat="1"/>
    <row r="73" s="4" customFormat="1"/>
    <row r="74" s="4" customFormat="1"/>
    <row r="75" s="4" customFormat="1"/>
    <row r="76" s="4" customFormat="1"/>
    <row r="77" s="4" customFormat="1"/>
    <row r="78" s="4" customFormat="1"/>
    <row r="79" s="4" customFormat="1"/>
    <row r="80" s="4" customFormat="1"/>
    <row r="81" s="4" customFormat="1"/>
    <row r="82" s="4" customFormat="1"/>
    <row r="83" s="4" customFormat="1"/>
    <row r="84" s="4" customFormat="1"/>
    <row r="85" s="4" customFormat="1"/>
    <row r="86" s="4" customFormat="1"/>
    <row r="87" s="4" customFormat="1"/>
    <row r="88" s="4" customFormat="1"/>
    <row r="89" s="4" customFormat="1"/>
    <row r="90" s="4" customFormat="1"/>
    <row r="91" s="4" customFormat="1"/>
    <row r="92" s="4" customFormat="1"/>
    <row r="93" s="4" customFormat="1"/>
    <row r="94" s="4" customFormat="1"/>
    <row r="95" s="4" customFormat="1"/>
    <row r="96" s="4" customFormat="1"/>
    <row r="97" s="4" customFormat="1"/>
    <row r="98" s="4" customFormat="1"/>
    <row r="99" s="4" customFormat="1"/>
    <row r="100" s="4" customFormat="1"/>
    <row r="101" s="4" customFormat="1"/>
    <row r="102" s="4" customFormat="1"/>
    <row r="103" s="4" customFormat="1"/>
    <row r="104" s="4" customFormat="1"/>
    <row r="105" s="4" customFormat="1"/>
    <row r="106" s="4" customFormat="1"/>
    <row r="107" s="4" customFormat="1"/>
    <row r="108" s="4" customFormat="1"/>
    <row r="109" s="4" customFormat="1"/>
    <row r="110" s="4" customFormat="1"/>
    <row r="111" s="4" customFormat="1"/>
    <row r="112" s="4" customFormat="1"/>
    <row r="113" s="4" customFormat="1"/>
    <row r="114" s="4" customFormat="1"/>
    <row r="115" s="4" customFormat="1"/>
    <row r="116" s="4" customFormat="1"/>
    <row r="117" s="4" customFormat="1"/>
    <row r="118" s="4" customFormat="1"/>
    <row r="119" s="4" customFormat="1"/>
    <row r="120" s="4" customFormat="1"/>
    <row r="121" s="4" customFormat="1"/>
    <row r="122" s="4" customFormat="1"/>
    <row r="123" s="4" customFormat="1"/>
    <row r="124" s="4" customFormat="1"/>
    <row r="125" s="4" customFormat="1"/>
    <row r="126" s="4" customFormat="1"/>
    <row r="127" s="4" customFormat="1"/>
    <row r="128" s="4" customFormat="1"/>
    <row r="129" s="4" customFormat="1"/>
    <row r="130" s="4" customFormat="1"/>
    <row r="131" s="4" customFormat="1"/>
    <row r="132" s="4" customFormat="1"/>
    <row r="133" s="4" customFormat="1"/>
    <row r="134" s="4" customFormat="1"/>
    <row r="135" s="4" customFormat="1"/>
    <row r="136" s="4" customFormat="1"/>
    <row r="137" s="4" customFormat="1"/>
    <row r="138" s="4" customFormat="1"/>
    <row r="139" s="4" customFormat="1"/>
    <row r="140" s="4" customFormat="1"/>
    <row r="141" s="4" customFormat="1"/>
    <row r="142" s="4" customFormat="1"/>
    <row r="143" s="4" customFormat="1"/>
    <row r="144" s="4" customFormat="1"/>
    <row r="145" s="4" customFormat="1"/>
    <row r="146" s="4" customFormat="1"/>
    <row r="147" s="4" customFormat="1"/>
    <row r="148" s="4" customFormat="1"/>
    <row r="149" s="4" customFormat="1"/>
    <row r="150" s="4" customFormat="1"/>
    <row r="151" s="4" customFormat="1"/>
    <row r="152" s="4" customFormat="1"/>
    <row r="153" s="4" customFormat="1"/>
    <row r="154" s="4" customFormat="1"/>
    <row r="155" s="4" customFormat="1"/>
    <row r="156" s="4" customFormat="1"/>
    <row r="157" s="4" customFormat="1"/>
    <row r="158" s="4" customFormat="1"/>
    <row r="159" s="4" customFormat="1"/>
    <row r="160" s="4" customFormat="1"/>
    <row r="161" s="4" customFormat="1"/>
    <row r="162" s="4" customFormat="1"/>
    <row r="163" s="4" customFormat="1"/>
    <row r="164" s="4" customFormat="1"/>
    <row r="165" s="4" customFormat="1"/>
    <row r="166" s="4" customFormat="1"/>
    <row r="167" s="4" customFormat="1"/>
    <row r="168" s="4" customFormat="1"/>
    <row r="169" s="4" customFormat="1"/>
    <row r="170" s="4" customFormat="1"/>
  </sheetData>
  <phoneticPr fontId="10" type="noConversion"/>
  <hyperlinks>
    <hyperlink ref="S1" location="Fabricante_Caracterización!A1" display="Caracterización objeto &gt;&gt;" xr:uid="{CE6FAB88-CA29-4110-8A9F-16C632D58808}"/>
    <hyperlink ref="A1" location="'Modelo Dominio Anémico'!A1" display="&lt;&lt; Modelo de dominio &gt;&gt;" xr:uid="{DF4F2B89-6DCF-4225-9EA1-E2F97AB1F79B}"/>
    <hyperlink ref="B1" location="'Objetos Dominio'!A1" display="&lt;&lt; Objetos de dominio" xr:uid="{09B3A7E3-68C8-4BC7-AA61-10E487051576}"/>
    <hyperlink ref="B3" location="'BitacoraDiaria_Muestreo '!A1" display="Bitacora Vuelo" xr:uid="{516449D4-C115-4188-924A-7025B476117A}"/>
    <hyperlink ref="C3" location="'Vuelo_Muestreo '!A1" display="Vuelo" xr:uid="{DB71DA00-1A89-46A6-87E3-56A1899BFB88}"/>
    <hyperlink ref="E3" location="Matricula_Muestreo!A1" display="Matricula Real" xr:uid="{DF0DACA6-62DC-466B-9579-C2F60CD03364}"/>
    <hyperlink ref="E4" location="Matricula_Muestreo!A4" display="Matricula_Muestreo!A4" xr:uid="{2881DBCB-E4C8-4FBA-8EFB-0A585C68FCE1}"/>
    <hyperlink ref="K4" location="TipoIntegrante_Muestreo!A5" display="TipoIntegrante_Muestreo!A5" xr:uid="{E55F5C06-F552-4E02-9B8E-4705847BAEC0}"/>
    <hyperlink ref="L4" location="TipoIntegrante_Muestreo!A4" display="TipoIntegrante_Muestreo!A4" xr:uid="{55E21FEB-0682-4DD2-8C72-5EE6C2870F0B}"/>
    <hyperlink ref="M4" location="TipoIntegrante_Muestreo!A4" display="TipoIntegrante_Muestreo!A4" xr:uid="{891FA8C8-4068-4DDE-89B8-93F6CF9B6495}"/>
    <hyperlink ref="N4" location="TipoIntegrante_Muestreo!A5" display="TipoIntegrante_Muestreo!A5" xr:uid="{5EB4013F-033B-4E58-99A4-66722C9128C7}"/>
    <hyperlink ref="O4" location="EmpleadoAerolinea_Muestreo!A4" display="EmpleadoAerolinea_Muestreo!A4" xr:uid="{B2D069BF-47B3-46DB-8A72-F63017DB407B}"/>
    <hyperlink ref="P4" location="TipoIntegrante_Muestreo!A23" display="TipoIntegrante_Muestreo!A23" xr:uid="{7085997E-0479-45BE-BC6B-E09E9B48B174}"/>
    <hyperlink ref="B4" location="'BitacoraDiaria_Muestreo '!A4" display="'BitacoraDiaria_Muestreo '!A4" xr:uid="{D35EE067-5C6C-4984-BCAA-4DEBB8CC5F25}"/>
    <hyperlink ref="C4" location="'Vuelo_Muestreo '!A4" display="'Vuelo_Muestreo '!A4" xr:uid="{8FFF219D-533C-43B1-B8B6-2687117E32EF}"/>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C8C3D-B9C1-4696-B7B1-BE75179FF9CE}">
  <sheetPr codeName="Hoja11">
    <tabColor rgb="FF0070C0"/>
  </sheetPr>
  <dimension ref="A1:Z67"/>
  <sheetViews>
    <sheetView workbookViewId="0">
      <selection activeCell="D41" sqref="C41:D41"/>
    </sheetView>
  </sheetViews>
  <sheetFormatPr defaultColWidth="10.85546875" defaultRowHeight="14.45"/>
  <cols>
    <col min="1" max="4" width="38.5703125" style="4" customWidth="1"/>
    <col min="5" max="5" width="20.28515625" style="4" customWidth="1"/>
    <col min="6" max="6" width="20.140625" style="4" bestFit="1" customWidth="1"/>
    <col min="7" max="7" width="19.5703125" style="4" customWidth="1"/>
    <col min="8" max="8" width="32.42578125" style="4" bestFit="1" customWidth="1"/>
    <col min="9" max="9" width="29.42578125" style="4" bestFit="1" customWidth="1"/>
    <col min="10" max="10" width="40.5703125" style="4" customWidth="1"/>
    <col min="11" max="11" width="33.42578125" style="4" customWidth="1"/>
    <col min="12" max="12" width="34.28515625" style="4"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69.140625" style="4" customWidth="1"/>
    <col min="22" max="22" width="41.5703125" style="4" customWidth="1"/>
    <col min="23" max="23" width="48.7109375" style="4" customWidth="1"/>
    <col min="24" max="24" width="57.5703125" style="4" customWidth="1"/>
    <col min="25" max="25" width="42.7109375" style="4" customWidth="1"/>
    <col min="26" max="26" width="46.28515625" style="4" customWidth="1"/>
    <col min="27" max="16384" width="10.85546875" style="4"/>
  </cols>
  <sheetData>
    <row r="1" spans="1:26" customFormat="1">
      <c r="A1" s="58" t="s">
        <v>46</v>
      </c>
      <c r="B1" s="69" t="s">
        <v>74</v>
      </c>
      <c r="C1" s="69" t="s">
        <v>75</v>
      </c>
    </row>
    <row r="2" spans="1:26" s="60" customFormat="1">
      <c r="A2" s="59" t="str">
        <f>'Objetos Dominio'!$A$2</f>
        <v>Nombre</v>
      </c>
      <c r="B2" s="730" t="str">
        <f>'Objetos Dominio'!$A$9</f>
        <v>Empleado</v>
      </c>
      <c r="C2" s="730"/>
      <c r="D2" s="730"/>
      <c r="E2" s="730"/>
      <c r="F2" s="730"/>
      <c r="G2" s="730"/>
      <c r="H2" s="730"/>
      <c r="I2" s="730"/>
      <c r="J2" s="730"/>
      <c r="K2" s="730"/>
      <c r="L2" s="730"/>
      <c r="M2" s="730"/>
      <c r="N2" s="730"/>
      <c r="O2" s="730"/>
      <c r="P2" s="730"/>
      <c r="Q2" s="730"/>
      <c r="R2" s="730"/>
      <c r="S2" s="730"/>
      <c r="T2" s="730"/>
      <c r="U2" s="730"/>
    </row>
    <row r="3" spans="1:26" s="60" customFormat="1" ht="14.1" customHeight="1">
      <c r="A3" s="59" t="str">
        <f>'Objetos Dominio'!$B$2</f>
        <v>Tipo</v>
      </c>
      <c r="B3" s="731" t="str">
        <f>'Objetos Dominio'!$B$9</f>
        <v>Propio</v>
      </c>
      <c r="C3" s="731"/>
      <c r="D3" s="731"/>
      <c r="E3" s="731"/>
      <c r="F3" s="731"/>
      <c r="G3" s="731"/>
      <c r="H3" s="731"/>
      <c r="I3" s="731"/>
      <c r="J3" s="731"/>
      <c r="K3" s="731"/>
      <c r="L3" s="731"/>
      <c r="M3" s="731"/>
      <c r="N3" s="731"/>
      <c r="O3" s="731"/>
      <c r="P3" s="731"/>
      <c r="Q3" s="731"/>
      <c r="R3" s="731"/>
      <c r="S3" s="731"/>
      <c r="T3" s="731"/>
      <c r="U3" s="731"/>
    </row>
    <row r="4" spans="1:26" s="60" customFormat="1" ht="14.1" customHeight="1">
      <c r="A4" s="59" t="str">
        <f>'Objetos Dominio'!$C$2</f>
        <v>Contexto Origen</v>
      </c>
      <c r="B4" s="731" t="str">
        <f>'Objetos Dominio'!$C$9</f>
        <v>Flight Hours</v>
      </c>
      <c r="C4" s="731"/>
      <c r="D4" s="731"/>
      <c r="E4" s="731"/>
      <c r="F4" s="731"/>
      <c r="G4" s="731"/>
      <c r="H4" s="731"/>
      <c r="I4" s="731"/>
      <c r="J4" s="731"/>
      <c r="K4" s="731"/>
      <c r="L4" s="731"/>
      <c r="M4" s="731"/>
      <c r="N4" s="731"/>
      <c r="O4" s="731"/>
      <c r="P4" s="731"/>
      <c r="Q4" s="731"/>
      <c r="R4" s="731"/>
      <c r="S4" s="731"/>
      <c r="T4" s="731"/>
      <c r="U4" s="731"/>
    </row>
    <row r="5" spans="1:26" s="60" customFormat="1" ht="14.1" customHeight="1">
      <c r="A5" s="94" t="str">
        <f>'Objetos Dominio'!$D$2</f>
        <v>Descripción</v>
      </c>
      <c r="B5" s="732" t="str">
        <f>'Objetos Dominio'!$D$9</f>
        <v>Objeto de dominio que representa el nombre y el código de la persona que trabaja en la aerolínea</v>
      </c>
      <c r="C5" s="732"/>
      <c r="D5" s="732"/>
      <c r="E5" s="732"/>
      <c r="F5" s="732"/>
      <c r="G5" s="732"/>
      <c r="H5" s="732"/>
      <c r="I5" s="732"/>
      <c r="J5" s="732"/>
      <c r="K5" s="732"/>
      <c r="L5" s="732"/>
      <c r="M5" s="732"/>
      <c r="N5" s="732"/>
      <c r="O5" s="732"/>
      <c r="P5" s="732"/>
      <c r="Q5" s="732"/>
      <c r="R5" s="732"/>
      <c r="S5" s="732"/>
      <c r="T5" s="732"/>
      <c r="U5" s="732"/>
    </row>
    <row r="6" spans="1:26" s="60" customFormat="1" ht="15">
      <c r="A6" s="562" t="s">
        <v>76</v>
      </c>
      <c r="B6" s="562" t="s">
        <v>77</v>
      </c>
      <c r="C6" s="562" t="s">
        <v>78</v>
      </c>
      <c r="D6" s="562" t="s">
        <v>79</v>
      </c>
      <c r="E6" s="562" t="s">
        <v>80</v>
      </c>
      <c r="F6" s="562" t="s">
        <v>81</v>
      </c>
      <c r="G6" s="562" t="s">
        <v>82</v>
      </c>
      <c r="H6" s="562" t="s">
        <v>83</v>
      </c>
      <c r="I6" s="562" t="s">
        <v>84</v>
      </c>
      <c r="J6" s="562" t="s">
        <v>85</v>
      </c>
      <c r="K6" s="562" t="s">
        <v>86</v>
      </c>
      <c r="L6" s="562" t="s">
        <v>87</v>
      </c>
      <c r="M6" s="562" t="s">
        <v>88</v>
      </c>
      <c r="N6" s="562" t="s">
        <v>89</v>
      </c>
      <c r="O6" s="562" t="s">
        <v>90</v>
      </c>
      <c r="P6" s="562" t="s">
        <v>91</v>
      </c>
      <c r="Q6" s="562" t="s">
        <v>92</v>
      </c>
      <c r="R6" s="562" t="s">
        <v>93</v>
      </c>
      <c r="S6" s="562" t="s">
        <v>94</v>
      </c>
      <c r="T6" s="562" t="s">
        <v>95</v>
      </c>
      <c r="U6" s="563" t="s">
        <v>49</v>
      </c>
      <c r="V6" s="606" t="str">
        <f>A27</f>
        <v>Agregar la información de un nuevo  Empleado</v>
      </c>
      <c r="W6" s="621" t="str">
        <f>A32</f>
        <v>Consultar la Información del Empleado</v>
      </c>
      <c r="X6" s="580" t="str">
        <f>A36</f>
        <v>Restablecer la Contraseña del Empleado</v>
      </c>
      <c r="Y6" s="580" t="str">
        <f>A40</f>
        <v>Modificar la Clave del Empleado</v>
      </c>
      <c r="Z6" s="580" t="str">
        <f>A44</f>
        <v>Autenticar la Información del Empleado</v>
      </c>
    </row>
    <row r="7" spans="1:26" s="60" customFormat="1" ht="53.45" customHeight="1">
      <c r="A7" s="564" t="str">
        <f>Empleado_Muestreo!A3</f>
        <v>Id</v>
      </c>
      <c r="B7" s="565" t="s">
        <v>17</v>
      </c>
      <c r="C7" s="565">
        <v>36</v>
      </c>
      <c r="D7" s="565">
        <v>36</v>
      </c>
      <c r="E7" s="565"/>
      <c r="F7" s="565"/>
      <c r="G7" s="565"/>
      <c r="H7" s="565"/>
      <c r="I7" s="565"/>
      <c r="J7" s="566" t="s">
        <v>252</v>
      </c>
      <c r="K7" s="565"/>
      <c r="L7" s="567"/>
      <c r="M7" s="568" t="s">
        <v>9</v>
      </c>
      <c r="N7" s="568" t="s">
        <v>9</v>
      </c>
      <c r="O7" s="568" t="s">
        <v>9</v>
      </c>
      <c r="P7" s="568" t="s">
        <v>14</v>
      </c>
      <c r="Q7" s="568" t="s">
        <v>9</v>
      </c>
      <c r="R7" s="568" t="s">
        <v>14</v>
      </c>
      <c r="S7" s="568" t="s">
        <v>14</v>
      </c>
      <c r="T7" s="568" t="s">
        <v>9</v>
      </c>
      <c r="U7" s="569" t="str">
        <f>Empleado_Muestreo!$A$2</f>
        <v>Corresponde a un identificador único del Empleado  dentro del objeto de dominio Empleado.</v>
      </c>
      <c r="V7" s="622" t="s">
        <v>98</v>
      </c>
      <c r="W7" s="584" t="s">
        <v>97</v>
      </c>
      <c r="X7" s="582" t="s">
        <v>253</v>
      </c>
      <c r="Y7" s="582" t="s">
        <v>253</v>
      </c>
      <c r="Z7" s="582" t="s">
        <v>98</v>
      </c>
    </row>
    <row r="8" spans="1:26" s="60" customFormat="1" ht="45.75">
      <c r="A8" s="564" t="str">
        <f>Empleado_Muestreo!$B$3</f>
        <v>Nombre</v>
      </c>
      <c r="B8" s="565" t="s">
        <v>17</v>
      </c>
      <c r="C8" s="565">
        <v>3</v>
      </c>
      <c r="D8" s="565">
        <v>50</v>
      </c>
      <c r="E8" s="565"/>
      <c r="F8" s="565"/>
      <c r="G8" s="565"/>
      <c r="H8" s="565"/>
      <c r="I8" s="565"/>
      <c r="J8" s="566" t="s">
        <v>99</v>
      </c>
      <c r="K8" s="565"/>
      <c r="L8" s="567"/>
      <c r="M8" s="568" t="s">
        <v>9</v>
      </c>
      <c r="N8" s="568" t="s">
        <v>9</v>
      </c>
      <c r="O8" s="568" t="s">
        <v>14</v>
      </c>
      <c r="P8" s="568" t="s">
        <v>14</v>
      </c>
      <c r="Q8" s="568" t="s">
        <v>9</v>
      </c>
      <c r="R8" s="568" t="s">
        <v>9</v>
      </c>
      <c r="S8" s="568" t="s">
        <v>14</v>
      </c>
      <c r="T8" s="568" t="s">
        <v>14</v>
      </c>
      <c r="U8" s="569" t="str">
        <f>Empleado_Muestreo!$B$2</f>
        <v xml:space="preserve">Corresponde al nombre del empleado para el cual está configurado . </v>
      </c>
      <c r="V8" s="622" t="s">
        <v>98</v>
      </c>
      <c r="W8" s="584" t="s">
        <v>386</v>
      </c>
      <c r="X8" s="582" t="s">
        <v>253</v>
      </c>
      <c r="Y8" s="582" t="s">
        <v>253</v>
      </c>
      <c r="Z8" s="582" t="s">
        <v>387</v>
      </c>
    </row>
    <row r="9" spans="1:26" s="60" customFormat="1" ht="45" customHeight="1">
      <c r="A9" s="564" t="str">
        <f>Empleado_Muestreo!C3</f>
        <v>Email</v>
      </c>
      <c r="B9" s="565" t="s">
        <v>17</v>
      </c>
      <c r="C9" s="565">
        <v>12</v>
      </c>
      <c r="D9" s="565">
        <v>150</v>
      </c>
      <c r="E9" s="565"/>
      <c r="F9" s="565"/>
      <c r="G9" s="565"/>
      <c r="H9" s="565"/>
      <c r="I9" s="565"/>
      <c r="J9" s="566" t="s">
        <v>388</v>
      </c>
      <c r="K9" s="565"/>
      <c r="L9" s="565"/>
      <c r="M9" s="568" t="s">
        <v>9</v>
      </c>
      <c r="N9" s="568" t="s">
        <v>9</v>
      </c>
      <c r="O9" s="568" t="s">
        <v>14</v>
      </c>
      <c r="P9" s="568" t="s">
        <v>14</v>
      </c>
      <c r="Q9" s="568" t="s">
        <v>9</v>
      </c>
      <c r="R9" s="568" t="s">
        <v>14</v>
      </c>
      <c r="S9" s="568" t="s">
        <v>14</v>
      </c>
      <c r="T9" s="568" t="s">
        <v>9</v>
      </c>
      <c r="U9" s="565" t="s">
        <v>389</v>
      </c>
      <c r="V9" s="622" t="s">
        <v>98</v>
      </c>
      <c r="W9" s="600" t="s">
        <v>390</v>
      </c>
      <c r="X9" s="582" t="s">
        <v>391</v>
      </c>
      <c r="Y9" s="582" t="s">
        <v>253</v>
      </c>
      <c r="Z9" s="582" t="s">
        <v>98</v>
      </c>
    </row>
    <row r="10" spans="1:26" s="60" customFormat="1" ht="54.6" customHeight="1">
      <c r="A10" s="564" t="str">
        <f>Empleado_Muestreo!D3</f>
        <v>Contrasena</v>
      </c>
      <c r="B10" s="565" t="s">
        <v>17</v>
      </c>
      <c r="C10" s="565">
        <v>8</v>
      </c>
      <c r="D10" s="565">
        <v>16</v>
      </c>
      <c r="E10" s="565"/>
      <c r="F10" s="565"/>
      <c r="G10" s="565"/>
      <c r="H10" s="565"/>
      <c r="I10" s="565"/>
      <c r="J10" s="566" t="s">
        <v>99</v>
      </c>
      <c r="K10" s="565"/>
      <c r="L10" s="565"/>
      <c r="M10" s="568" t="s">
        <v>9</v>
      </c>
      <c r="N10" s="568" t="s">
        <v>9</v>
      </c>
      <c r="O10" s="568" t="s">
        <v>14</v>
      </c>
      <c r="P10" s="568" t="s">
        <v>14</v>
      </c>
      <c r="Q10" s="568" t="s">
        <v>9</v>
      </c>
      <c r="R10" s="568" t="s">
        <v>9</v>
      </c>
      <c r="S10" s="568" t="s">
        <v>9</v>
      </c>
      <c r="T10" s="568" t="s">
        <v>14</v>
      </c>
      <c r="U10" s="565" t="s">
        <v>392</v>
      </c>
      <c r="V10" s="622" t="s">
        <v>98</v>
      </c>
      <c r="W10" s="584" t="s">
        <v>393</v>
      </c>
      <c r="X10" s="582" t="s">
        <v>394</v>
      </c>
      <c r="Y10" s="582" t="s">
        <v>394</v>
      </c>
      <c r="Z10" s="582" t="s">
        <v>98</v>
      </c>
    </row>
    <row r="11" spans="1:26" s="60" customFormat="1" ht="53.45" customHeight="1">
      <c r="A11" s="564" t="str">
        <f>Empleado_Muestreo!E3</f>
        <v>EmailConfimado</v>
      </c>
      <c r="B11" s="565" t="s">
        <v>21</v>
      </c>
      <c r="C11" s="565"/>
      <c r="D11" s="565"/>
      <c r="E11" s="565"/>
      <c r="F11" s="565"/>
      <c r="G11" s="565"/>
      <c r="H11" s="565"/>
      <c r="I11" s="565"/>
      <c r="J11" s="566"/>
      <c r="K11" s="565"/>
      <c r="L11" s="565"/>
      <c r="M11" s="568" t="s">
        <v>9</v>
      </c>
      <c r="N11" s="568" t="s">
        <v>9</v>
      </c>
      <c r="O11" s="568" t="s">
        <v>14</v>
      </c>
      <c r="P11" s="568" t="s">
        <v>9</v>
      </c>
      <c r="Q11" s="568" t="s">
        <v>9</v>
      </c>
      <c r="R11" s="568" t="s">
        <v>9</v>
      </c>
      <c r="S11" s="568" t="s">
        <v>14</v>
      </c>
      <c r="T11" s="568" t="s">
        <v>14</v>
      </c>
      <c r="U11" s="565" t="s">
        <v>395</v>
      </c>
      <c r="V11" s="623" t="s">
        <v>98</v>
      </c>
      <c r="W11" s="584" t="s">
        <v>169</v>
      </c>
      <c r="X11" s="607" t="s">
        <v>254</v>
      </c>
      <c r="Y11" s="582" t="s">
        <v>254</v>
      </c>
      <c r="Z11" s="582" t="s">
        <v>165</v>
      </c>
    </row>
    <row r="12" spans="1:26" s="60" customFormat="1" ht="45" customHeight="1">
      <c r="A12" s="565" t="str">
        <f>Empleado_Muestreo!$F$3</f>
        <v>numeroIdentificacion</v>
      </c>
      <c r="B12" s="565" t="s">
        <v>19</v>
      </c>
      <c r="C12" s="565">
        <v>7</v>
      </c>
      <c r="D12" s="565">
        <v>7</v>
      </c>
      <c r="E12" s="565"/>
      <c r="F12" s="565"/>
      <c r="G12" s="565"/>
      <c r="H12" s="565"/>
      <c r="I12" s="565"/>
      <c r="J12" s="566"/>
      <c r="K12" s="565"/>
      <c r="L12" s="570"/>
      <c r="M12" s="568" t="s">
        <v>9</v>
      </c>
      <c r="N12" s="568" t="s">
        <v>9</v>
      </c>
      <c r="O12" s="568" t="s">
        <v>14</v>
      </c>
      <c r="P12" s="568" t="s">
        <v>14</v>
      </c>
      <c r="Q12" s="568" t="s">
        <v>9</v>
      </c>
      <c r="R12" s="568" t="s">
        <v>9</v>
      </c>
      <c r="S12" s="568" t="s">
        <v>14</v>
      </c>
      <c r="T12" s="568" t="s">
        <v>14</v>
      </c>
      <c r="U12" s="620" t="str">
        <f>Empleado_Muestreo!$F$2</f>
        <v>Corresponde al número de identificación del empleado para el cual está configurado  en la aerolínea.</v>
      </c>
      <c r="V12" s="624" t="s">
        <v>98</v>
      </c>
      <c r="W12" s="631" t="s">
        <v>317</v>
      </c>
      <c r="X12" s="618" t="s">
        <v>391</v>
      </c>
      <c r="Y12" s="632" t="s">
        <v>391</v>
      </c>
      <c r="Z12" s="582" t="s">
        <v>165</v>
      </c>
    </row>
    <row r="13" spans="1:26" s="3" customFormat="1" ht="15">
      <c r="V13" s="595"/>
      <c r="W13" s="596"/>
      <c r="X13" s="595"/>
    </row>
    <row r="14" spans="1:26" s="60" customFormat="1" ht="15">
      <c r="A14" s="733" t="s">
        <v>106</v>
      </c>
      <c r="B14" s="734"/>
      <c r="C14" s="735"/>
    </row>
    <row r="15" spans="1:26" s="60" customFormat="1">
      <c r="A15" s="70" t="s">
        <v>107</v>
      </c>
      <c r="B15" s="71" t="s">
        <v>49</v>
      </c>
      <c r="C15" s="72" t="s">
        <v>108</v>
      </c>
    </row>
    <row r="16" spans="1:26" s="60" customFormat="1" ht="20.100000000000001" customHeight="1">
      <c r="A16" s="780" t="s">
        <v>396</v>
      </c>
      <c r="B16" s="757" t="str">
        <f>Empleado_Muestreo!G2</f>
        <v>El  número de identificación de un empleado  no se puede repetir.</v>
      </c>
      <c r="C16" s="781" t="str">
        <f>A12</f>
        <v>numeroIdentificacion</v>
      </c>
    </row>
    <row r="17" spans="1:12" s="60" customFormat="1" ht="20.100000000000001" customHeight="1">
      <c r="A17" s="780"/>
      <c r="B17" s="757"/>
      <c r="C17" s="782"/>
    </row>
    <row r="18" spans="1:12" s="60" customFormat="1" ht="20.100000000000001" customHeight="1"/>
    <row r="19" spans="1:12" ht="20.100000000000001" customHeight="1"/>
    <row r="20" spans="1:12" ht="15" thickBot="1"/>
    <row r="22" spans="1:12" ht="15"/>
    <row r="25" spans="1:12">
      <c r="A25" s="635" t="s">
        <v>111</v>
      </c>
      <c r="B25" s="155" t="s">
        <v>49</v>
      </c>
      <c r="C25" s="158"/>
      <c r="D25" s="158" t="s">
        <v>112</v>
      </c>
      <c r="E25" s="159"/>
      <c r="F25" s="157"/>
      <c r="G25" s="158" t="s">
        <v>113</v>
      </c>
      <c r="H25" s="726" t="s">
        <v>114</v>
      </c>
      <c r="I25" s="727"/>
      <c r="J25" s="728" t="s">
        <v>115</v>
      </c>
      <c r="K25" s="729"/>
    </row>
    <row r="26" spans="1:12" ht="15">
      <c r="A26" s="647"/>
      <c r="B26" s="646"/>
      <c r="C26" s="158" t="s">
        <v>116</v>
      </c>
      <c r="D26" s="170" t="s">
        <v>117</v>
      </c>
      <c r="E26" s="188" t="s">
        <v>49</v>
      </c>
      <c r="F26" s="166" t="s">
        <v>77</v>
      </c>
      <c r="G26" s="188" t="s">
        <v>49</v>
      </c>
      <c r="H26" s="166" t="s">
        <v>118</v>
      </c>
      <c r="I26" s="159" t="s">
        <v>49</v>
      </c>
      <c r="J26" s="189" t="s">
        <v>119</v>
      </c>
      <c r="K26" s="166" t="s">
        <v>120</v>
      </c>
    </row>
    <row r="27" spans="1:12" ht="105.75" customHeight="1">
      <c r="A27" s="162" t="s">
        <v>397</v>
      </c>
      <c r="B27" s="337" t="s">
        <v>398</v>
      </c>
      <c r="C27" s="382" t="s">
        <v>323</v>
      </c>
      <c r="D27" s="382" t="s">
        <v>39</v>
      </c>
      <c r="E27" s="317" t="s">
        <v>261</v>
      </c>
      <c r="F27" s="346"/>
      <c r="G27" s="382"/>
      <c r="H27" s="764" t="s">
        <v>399</v>
      </c>
      <c r="I27" s="784" t="s">
        <v>185</v>
      </c>
      <c r="J27" s="776" t="s">
        <v>129</v>
      </c>
      <c r="K27" s="778" t="s">
        <v>130</v>
      </c>
      <c r="L27" s="571"/>
    </row>
    <row r="28" spans="1:12" ht="52.5" customHeight="1">
      <c r="A28" s="192"/>
      <c r="B28" s="193"/>
      <c r="C28" s="326"/>
      <c r="D28" s="326"/>
      <c r="E28" s="333"/>
      <c r="F28" s="28"/>
      <c r="G28" s="207"/>
      <c r="H28" s="772"/>
      <c r="I28" s="785"/>
      <c r="J28" s="777"/>
      <c r="K28" s="779"/>
    </row>
    <row r="29" spans="1:12" ht="52.5" customHeight="1">
      <c r="A29" s="192"/>
      <c r="B29" s="193"/>
      <c r="C29" s="326"/>
      <c r="D29" s="326"/>
      <c r="E29" s="333"/>
      <c r="F29" s="28"/>
      <c r="G29" s="333"/>
      <c r="H29" s="218" t="s">
        <v>400</v>
      </c>
      <c r="I29" s="215" t="s">
        <v>401</v>
      </c>
      <c r="J29" s="333" t="s">
        <v>402</v>
      </c>
      <c r="K29" s="340" t="s">
        <v>277</v>
      </c>
    </row>
    <row r="30" spans="1:12" ht="52.5" customHeight="1">
      <c r="A30" s="192"/>
      <c r="B30" s="193"/>
      <c r="C30" s="326"/>
      <c r="D30" s="326"/>
      <c r="E30" s="333"/>
      <c r="F30" s="28"/>
      <c r="G30" s="333"/>
      <c r="H30" s="238" t="s">
        <v>403</v>
      </c>
      <c r="I30" s="238" t="s">
        <v>404</v>
      </c>
      <c r="J30" s="219" t="s">
        <v>129</v>
      </c>
      <c r="K30" s="345" t="s">
        <v>130</v>
      </c>
    </row>
    <row r="31" spans="1:12" ht="52.5" customHeight="1">
      <c r="A31" s="192"/>
      <c r="B31" s="393"/>
      <c r="C31" s="28"/>
      <c r="D31" s="326"/>
      <c r="E31" s="333"/>
      <c r="F31" s="344"/>
      <c r="G31" s="216"/>
      <c r="H31" s="238" t="s">
        <v>405</v>
      </c>
      <c r="I31" s="171" t="s">
        <v>406</v>
      </c>
      <c r="J31" s="219" t="s">
        <v>129</v>
      </c>
      <c r="K31" s="347" t="s">
        <v>130</v>
      </c>
    </row>
    <row r="32" spans="1:12" ht="99" customHeight="1">
      <c r="A32" s="163" t="s">
        <v>407</v>
      </c>
      <c r="B32" s="337" t="s">
        <v>408</v>
      </c>
      <c r="C32" s="172" t="s">
        <v>123</v>
      </c>
      <c r="D32" s="172" t="s">
        <v>39</v>
      </c>
      <c r="E32" s="154" t="s">
        <v>261</v>
      </c>
      <c r="F32" s="196" t="s">
        <v>409</v>
      </c>
      <c r="G32" s="257" t="s">
        <v>410</v>
      </c>
      <c r="H32" s="255" t="s">
        <v>411</v>
      </c>
      <c r="I32" s="174" t="s">
        <v>128</v>
      </c>
      <c r="J32" s="219" t="s">
        <v>129</v>
      </c>
      <c r="K32" s="338" t="s">
        <v>130</v>
      </c>
    </row>
    <row r="33" spans="1:11" ht="94.5" customHeight="1">
      <c r="A33" s="168"/>
      <c r="C33" s="186"/>
      <c r="D33" s="186"/>
      <c r="E33" s="231"/>
      <c r="F33" s="236"/>
      <c r="G33" s="239"/>
      <c r="H33" s="164"/>
      <c r="I33" s="191"/>
      <c r="J33" s="333"/>
      <c r="K33" s="344"/>
    </row>
    <row r="34" spans="1:11" ht="94.5" customHeight="1">
      <c r="A34" s="168"/>
      <c r="C34" s="186"/>
      <c r="D34" s="186"/>
      <c r="E34" s="231"/>
      <c r="F34" s="236"/>
      <c r="G34" s="239"/>
      <c r="H34" s="164"/>
      <c r="I34" s="191"/>
      <c r="J34" s="333"/>
      <c r="K34" s="216"/>
    </row>
    <row r="35" spans="1:11" ht="94.5" customHeight="1">
      <c r="A35" s="168"/>
      <c r="C35" s="186"/>
      <c r="D35" s="186"/>
      <c r="E35" s="231"/>
      <c r="F35" s="236"/>
      <c r="G35" s="239"/>
      <c r="H35" s="254"/>
      <c r="I35" s="506"/>
      <c r="J35" s="319"/>
      <c r="K35" s="251"/>
    </row>
    <row r="36" spans="1:11" ht="135.75" customHeight="1">
      <c r="A36" s="640" t="s">
        <v>412</v>
      </c>
      <c r="B36" s="641" t="s">
        <v>413</v>
      </c>
      <c r="C36" s="210" t="s">
        <v>414</v>
      </c>
      <c r="D36" s="202" t="s">
        <v>17</v>
      </c>
      <c r="E36" s="400" t="s">
        <v>415</v>
      </c>
      <c r="F36" s="195"/>
      <c r="G36" s="184"/>
      <c r="H36" s="556" t="s">
        <v>399</v>
      </c>
      <c r="I36" s="776" t="s">
        <v>185</v>
      </c>
      <c r="J36" s="638" t="s">
        <v>129</v>
      </c>
      <c r="K36" s="639" t="s">
        <v>130</v>
      </c>
    </row>
    <row r="37" spans="1:11" ht="91.5" customHeight="1">
      <c r="A37" s="233"/>
      <c r="B37" s="207"/>
      <c r="C37" s="186" t="s">
        <v>416</v>
      </c>
      <c r="D37" s="186" t="s">
        <v>17</v>
      </c>
      <c r="E37" s="401" t="s">
        <v>417</v>
      </c>
      <c r="F37" s="208"/>
      <c r="G37" s="214"/>
      <c r="H37" s="225"/>
      <c r="I37" s="783"/>
      <c r="J37" s="356"/>
      <c r="K37" s="168"/>
    </row>
    <row r="38" spans="1:11" ht="91.5" customHeight="1">
      <c r="A38" s="233"/>
      <c r="B38" s="207"/>
      <c r="C38" s="186"/>
      <c r="D38" s="186"/>
      <c r="E38" s="231"/>
      <c r="F38" s="208"/>
      <c r="G38" s="214"/>
      <c r="H38" s="225"/>
      <c r="I38" s="637"/>
      <c r="J38" s="356"/>
      <c r="K38" s="168"/>
    </row>
    <row r="39" spans="1:11" ht="91.5" customHeight="1">
      <c r="A39" s="176"/>
      <c r="B39" s="177"/>
      <c r="C39" s="181"/>
      <c r="D39" s="181"/>
      <c r="E39" s="230"/>
      <c r="F39" s="197"/>
      <c r="G39" s="185"/>
      <c r="H39" s="225"/>
      <c r="I39" s="256"/>
      <c r="J39" s="356"/>
      <c r="K39" s="348"/>
    </row>
    <row r="40" spans="1:11" ht="105" customHeight="1">
      <c r="A40" s="644" t="s">
        <v>418</v>
      </c>
      <c r="B40" s="645" t="s">
        <v>419</v>
      </c>
      <c r="C40" s="179" t="s">
        <v>416</v>
      </c>
      <c r="D40" s="179" t="s">
        <v>17</v>
      </c>
      <c r="E40" s="232" t="s">
        <v>420</v>
      </c>
      <c r="F40" s="208"/>
      <c r="G40" s="214"/>
      <c r="H40" s="643" t="s">
        <v>399</v>
      </c>
      <c r="I40" s="783" t="s">
        <v>185</v>
      </c>
      <c r="J40" s="642" t="s">
        <v>129</v>
      </c>
      <c r="K40" s="178" t="s">
        <v>130</v>
      </c>
    </row>
    <row r="41" spans="1:11" ht="84" customHeight="1">
      <c r="A41" s="233"/>
      <c r="B41" s="207"/>
      <c r="C41" s="202" t="s">
        <v>414</v>
      </c>
      <c r="D41" s="210" t="s">
        <v>17</v>
      </c>
      <c r="E41" s="383" t="s">
        <v>421</v>
      </c>
      <c r="F41" s="208"/>
      <c r="G41" s="214"/>
      <c r="H41" s="225"/>
      <c r="I41" s="777"/>
      <c r="J41" s="356"/>
      <c r="K41" s="168"/>
    </row>
    <row r="42" spans="1:11" ht="76.5" customHeight="1">
      <c r="A42" s="233"/>
      <c r="B42" s="207"/>
      <c r="C42" s="186" t="s">
        <v>422</v>
      </c>
      <c r="D42" s="186" t="s">
        <v>17</v>
      </c>
      <c r="E42" s="231" t="s">
        <v>423</v>
      </c>
      <c r="F42" s="208"/>
      <c r="G42" s="169"/>
      <c r="H42" s="225"/>
      <c r="I42" s="225"/>
      <c r="J42" s="207"/>
      <c r="K42" s="168"/>
    </row>
    <row r="43" spans="1:11" ht="108" customHeight="1">
      <c r="A43" s="176"/>
      <c r="B43" s="207"/>
      <c r="C43" s="186"/>
      <c r="D43" s="181"/>
      <c r="E43" s="231"/>
      <c r="F43" s="208"/>
      <c r="G43" s="214"/>
      <c r="H43" s="316"/>
      <c r="I43" s="225"/>
      <c r="J43" s="177"/>
      <c r="K43" s="222"/>
    </row>
    <row r="44" spans="1:11" ht="60.75" customHeight="1">
      <c r="A44" s="192" t="s">
        <v>424</v>
      </c>
      <c r="B44" s="172" t="s">
        <v>425</v>
      </c>
      <c r="C44" s="187" t="s">
        <v>426</v>
      </c>
      <c r="D44" s="4" t="s">
        <v>39</v>
      </c>
      <c r="E44" s="402" t="s">
        <v>427</v>
      </c>
      <c r="F44" s="195"/>
      <c r="G44" s="184"/>
      <c r="H44" s="225" t="s">
        <v>399</v>
      </c>
      <c r="I44" s="776" t="s">
        <v>185</v>
      </c>
      <c r="J44" s="216" t="s">
        <v>129</v>
      </c>
      <c r="K44" s="248" t="s">
        <v>130</v>
      </c>
    </row>
    <row r="45" spans="1:11" ht="57.75">
      <c r="A45" s="233"/>
      <c r="B45" s="207"/>
      <c r="C45" s="187" t="s">
        <v>428</v>
      </c>
      <c r="D45" s="209" t="s">
        <v>17</v>
      </c>
      <c r="E45" s="237" t="s">
        <v>429</v>
      </c>
      <c r="F45" s="186"/>
      <c r="G45" s="214"/>
      <c r="H45" s="225"/>
      <c r="I45" s="777"/>
      <c r="J45" s="216"/>
      <c r="K45" s="248"/>
    </row>
    <row r="46" spans="1:11" ht="15">
      <c r="A46" s="233"/>
      <c r="B46" s="207"/>
      <c r="C46" s="168"/>
      <c r="D46" s="248"/>
      <c r="E46" s="237"/>
      <c r="F46" s="186"/>
      <c r="G46" s="214"/>
      <c r="H46" s="225"/>
      <c r="I46" s="225"/>
      <c r="J46" s="333"/>
      <c r="K46" s="248"/>
    </row>
    <row r="47" spans="1:11" ht="108" customHeight="1">
      <c r="A47" s="176"/>
      <c r="B47" s="177"/>
      <c r="C47" s="222"/>
      <c r="D47" s="228"/>
      <c r="E47" s="237"/>
      <c r="F47" s="181"/>
      <c r="G47" s="185"/>
      <c r="H47" s="316"/>
      <c r="I47" s="316"/>
      <c r="J47" s="319"/>
      <c r="K47" s="228"/>
    </row>
    <row r="48" spans="1:11" ht="93" customHeight="1">
      <c r="A48" s="207" t="s">
        <v>430</v>
      </c>
      <c r="B48" s="385" t="s">
        <v>431</v>
      </c>
      <c r="C48" s="326" t="s">
        <v>142</v>
      </c>
      <c r="D48" s="348" t="s">
        <v>17</v>
      </c>
      <c r="E48" s="212" t="s">
        <v>432</v>
      </c>
      <c r="F48" s="208"/>
      <c r="G48" s="214"/>
      <c r="H48" s="256" t="s">
        <v>433</v>
      </c>
      <c r="I48" s="319" t="s">
        <v>434</v>
      </c>
      <c r="J48" s="333" t="s">
        <v>129</v>
      </c>
      <c r="K48" s="248" t="s">
        <v>130</v>
      </c>
    </row>
    <row r="49" spans="1:11" ht="92.25" customHeight="1">
      <c r="A49" s="177"/>
      <c r="B49" s="177"/>
      <c r="C49" s="181"/>
      <c r="D49" s="179"/>
      <c r="E49" s="234"/>
      <c r="F49" s="197"/>
      <c r="G49" s="190"/>
      <c r="H49" s="256" t="s">
        <v>399</v>
      </c>
      <c r="I49" s="198" t="s">
        <v>185</v>
      </c>
      <c r="J49" s="321" t="s">
        <v>129</v>
      </c>
      <c r="K49" s="211" t="s">
        <v>130</v>
      </c>
    </row>
    <row r="50" spans="1:11" ht="92.25" customHeight="1">
      <c r="A50" s="776" t="s">
        <v>435</v>
      </c>
      <c r="B50" s="776" t="s">
        <v>436</v>
      </c>
      <c r="C50" s="778" t="s">
        <v>142</v>
      </c>
      <c r="D50" s="778" t="s">
        <v>17</v>
      </c>
      <c r="E50" s="776" t="s">
        <v>437</v>
      </c>
      <c r="F50" s="786"/>
      <c r="G50" s="776"/>
      <c r="H50" s="173" t="s">
        <v>433</v>
      </c>
      <c r="I50" s="164" t="s">
        <v>434</v>
      </c>
      <c r="J50" s="319" t="s">
        <v>129</v>
      </c>
      <c r="K50" s="228" t="s">
        <v>130</v>
      </c>
    </row>
    <row r="51" spans="1:11" ht="92.25" customHeight="1">
      <c r="A51" s="777"/>
      <c r="B51" s="777"/>
      <c r="C51" s="779"/>
      <c r="D51" s="779"/>
      <c r="E51" s="777"/>
      <c r="F51" s="787"/>
      <c r="G51" s="788"/>
      <c r="H51" s="253" t="s">
        <v>399</v>
      </c>
      <c r="I51" s="507" t="s">
        <v>185</v>
      </c>
      <c r="J51" s="350" t="s">
        <v>129</v>
      </c>
      <c r="K51" s="228" t="s">
        <v>130</v>
      </c>
    </row>
    <row r="52" spans="1:11" ht="92.25" customHeight="1">
      <c r="A52" s="356"/>
      <c r="B52" s="356"/>
      <c r="C52" s="28"/>
      <c r="D52" s="28"/>
      <c r="E52" s="239"/>
      <c r="F52" s="208"/>
      <c r="G52" s="239"/>
      <c r="H52" s="191"/>
      <c r="I52" s="356"/>
      <c r="J52" s="356"/>
    </row>
    <row r="53" spans="1:11" ht="15"/>
    <row r="54" spans="1:11" ht="15"/>
    <row r="55" spans="1:11" ht="15"/>
    <row r="56" spans="1:11" ht="15">
      <c r="J56" s="501"/>
    </row>
    <row r="57" spans="1:11" ht="15">
      <c r="J57" s="505"/>
    </row>
    <row r="58" spans="1:11" ht="15"/>
    <row r="59" spans="1:11" ht="15"/>
    <row r="60" spans="1:11" ht="15"/>
    <row r="61" spans="1:11" ht="15"/>
    <row r="62" spans="1:11" ht="15"/>
    <row r="63" spans="1:11" ht="15"/>
    <row r="64" spans="1:11" ht="15"/>
    <row r="65" ht="15"/>
    <row r="66" ht="15"/>
    <row r="67" ht="15"/>
  </sheetData>
  <mergeCells count="24">
    <mergeCell ref="F50:F51"/>
    <mergeCell ref="G50:G51"/>
    <mergeCell ref="A50:A51"/>
    <mergeCell ref="B50:B51"/>
    <mergeCell ref="C50:C51"/>
    <mergeCell ref="D50:D51"/>
    <mergeCell ref="E50:E51"/>
    <mergeCell ref="I36:I37"/>
    <mergeCell ref="I40:I41"/>
    <mergeCell ref="I44:I45"/>
    <mergeCell ref="H27:H28"/>
    <mergeCell ref="I27:I28"/>
    <mergeCell ref="J27:J28"/>
    <mergeCell ref="K27:K28"/>
    <mergeCell ref="H25:I25"/>
    <mergeCell ref="J25:K25"/>
    <mergeCell ref="A16:A17"/>
    <mergeCell ref="B16:B17"/>
    <mergeCell ref="C16:C17"/>
    <mergeCell ref="B2:U2"/>
    <mergeCell ref="B3:U3"/>
    <mergeCell ref="B4:U4"/>
    <mergeCell ref="B5:U5"/>
    <mergeCell ref="A14:C14"/>
  </mergeCells>
  <phoneticPr fontId="10" type="noConversion"/>
  <hyperlinks>
    <hyperlink ref="C1" location="Empleado_Muestreo!A1" display="&lt;&lt; Muestreo Datos" xr:uid="{3EA09DDF-D876-4983-9C50-7B8B329F150D}"/>
    <hyperlink ref="A1" location="'Modelo Dominio Anémico'!A1" display="&lt;&lt; Modelo de dominio &gt;&gt;" xr:uid="{EEC59DF9-09F9-4C2E-B7EB-3F5AC1F4AB4A}"/>
    <hyperlink ref="B1" location="'Objetos Dominio'!A1" display="&lt;&lt; Objetos de dominio" xr:uid="{0B0798FD-E668-459D-9630-13F38812B57B}"/>
    <hyperlink ref="C16" location="Empleado_Caracterización!A9" display="Empleado_Caracterización!A9" xr:uid="{5B056E70-FA43-43DF-9BD4-92F5E9D8B9C7}"/>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978B5E7F-AEF0-4F0C-991F-E7B0BA5D766B}">
          <x14:formula1>
            <xm:f>Valores!$F$2:$F$4</xm:f>
          </x14:formula1>
          <xm:sqref>G7</xm:sqref>
        </x14:dataValidation>
        <x14:dataValidation type="list" allowBlank="1" showInputMessage="1" showErrorMessage="1" xr:uid="{438572DC-04EE-4D0E-8BD7-816CC88E82DB}">
          <x14:formula1>
            <xm:f>Valores!$D$2:$D$3</xm:f>
          </x14:formula1>
          <xm:sqref>M7:T12</xm:sqref>
        </x14:dataValidation>
        <x14:dataValidation type="list" allowBlank="1" showInputMessage="1" showErrorMessage="1" xr:uid="{C1EEE659-0C99-4533-97B5-1072F3E59ECE}">
          <x14:formula1>
            <xm:f>Valores!$E$2:$E$23</xm:f>
          </x14:formula1>
          <xm:sqref>B7:B12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8C210-C2D3-4509-ADE9-BC0550D19AA2}">
  <sheetPr codeName="Hoja10">
    <tabColor rgb="FF0070C0"/>
  </sheetPr>
  <dimension ref="A1:G40"/>
  <sheetViews>
    <sheetView zoomScale="62" zoomScaleNormal="62" workbookViewId="0">
      <selection activeCell="C4" sqref="C4"/>
    </sheetView>
  </sheetViews>
  <sheetFormatPr defaultColWidth="10.85546875" defaultRowHeight="15" customHeight="1"/>
  <cols>
    <col min="1" max="1" width="38.28515625" style="29" bestFit="1" customWidth="1"/>
    <col min="2" max="2" width="31.85546875" style="29" bestFit="1" customWidth="1"/>
    <col min="3" max="3" width="31.85546875" style="29" customWidth="1"/>
    <col min="4" max="4" width="24.140625" style="29" customWidth="1"/>
    <col min="5" max="5" width="31.85546875" style="29" customWidth="1"/>
    <col min="6" max="7" width="38.5703125" style="4" customWidth="1"/>
    <col min="8" max="8" width="29.42578125" style="4" customWidth="1"/>
    <col min="9" max="9" width="42.42578125" style="4" customWidth="1"/>
    <col min="10" max="11" width="24.140625" style="4" bestFit="1" customWidth="1"/>
    <col min="12" max="16384" width="10.85546875" style="4"/>
  </cols>
  <sheetData>
    <row r="1" spans="1:7" customFormat="1">
      <c r="A1" s="58" t="s">
        <v>46</v>
      </c>
      <c r="B1" s="69" t="s">
        <v>74</v>
      </c>
      <c r="C1" s="69"/>
      <c r="D1" s="69"/>
      <c r="E1" s="69"/>
      <c r="F1" s="69" t="s">
        <v>145</v>
      </c>
    </row>
    <row r="2" spans="1:7" s="1" customFormat="1" ht="23.25">
      <c r="A2" s="391" t="s">
        <v>438</v>
      </c>
      <c r="B2" s="369" t="s">
        <v>439</v>
      </c>
      <c r="C2" s="369" t="s">
        <v>440</v>
      </c>
      <c r="D2" s="369" t="s">
        <v>441</v>
      </c>
      <c r="E2" s="369" t="s">
        <v>439</v>
      </c>
      <c r="F2" s="369" t="s">
        <v>442</v>
      </c>
      <c r="G2" s="369" t="s">
        <v>443</v>
      </c>
    </row>
    <row r="3" spans="1:7" s="28" customFormat="1">
      <c r="A3" s="43" t="s">
        <v>133</v>
      </c>
      <c r="B3" s="394" t="s">
        <v>47</v>
      </c>
      <c r="C3" s="394" t="s">
        <v>414</v>
      </c>
      <c r="D3" s="394" t="s">
        <v>444</v>
      </c>
      <c r="E3" s="44" t="s">
        <v>445</v>
      </c>
      <c r="F3" s="37" t="s">
        <v>446</v>
      </c>
      <c r="G3" s="15" t="s">
        <v>153</v>
      </c>
    </row>
    <row r="4" spans="1:7">
      <c r="A4" s="396" t="s">
        <v>447</v>
      </c>
      <c r="B4" s="399" t="s">
        <v>448</v>
      </c>
      <c r="C4" s="395" t="s">
        <v>449</v>
      </c>
      <c r="D4" s="335" t="s">
        <v>450</v>
      </c>
      <c r="E4" s="397" t="s">
        <v>9</v>
      </c>
      <c r="F4" s="122">
        <f t="shared" ref="F4:F21" ca="1" si="0">RANDBETWEEN(0,9999999999)</f>
        <v>4793695555</v>
      </c>
      <c r="G4" s="392" t="str">
        <f>C4</f>
        <v>felipe.macea@latam.com</v>
      </c>
    </row>
    <row r="5" spans="1:7">
      <c r="A5" s="396" t="s">
        <v>451</v>
      </c>
      <c r="B5" s="399" t="s">
        <v>452</v>
      </c>
      <c r="C5" s="395" t="s">
        <v>453</v>
      </c>
      <c r="D5" s="335" t="s">
        <v>454</v>
      </c>
      <c r="E5" s="397" t="s">
        <v>14</v>
      </c>
      <c r="F5" s="122">
        <f t="shared" ca="1" si="0"/>
        <v>3076070479</v>
      </c>
      <c r="G5" s="392" t="str">
        <f>C5</f>
        <v>david.oquendo@latam.com</v>
      </c>
    </row>
    <row r="6" spans="1:7">
      <c r="A6" s="396" t="s">
        <v>455</v>
      </c>
      <c r="B6" s="399" t="s">
        <v>456</v>
      </c>
      <c r="C6" s="395" t="s">
        <v>457</v>
      </c>
      <c r="D6" s="335" t="s">
        <v>458</v>
      </c>
      <c r="E6" s="397" t="s">
        <v>14</v>
      </c>
      <c r="F6" s="122">
        <f t="shared" ca="1" si="0"/>
        <v>2624934007</v>
      </c>
      <c r="G6" s="392" t="str">
        <f>C6</f>
        <v>jaime.clavijo@latam.com</v>
      </c>
    </row>
    <row r="7" spans="1:7">
      <c r="A7" s="396" t="s">
        <v>459</v>
      </c>
      <c r="B7" s="399" t="s">
        <v>460</v>
      </c>
      <c r="C7" s="395" t="s">
        <v>461</v>
      </c>
      <c r="D7" s="335" t="s">
        <v>462</v>
      </c>
      <c r="E7" s="397" t="s">
        <v>14</v>
      </c>
      <c r="F7" s="122">
        <f t="shared" ca="1" si="0"/>
        <v>9772141874</v>
      </c>
      <c r="G7" s="392" t="str">
        <f>C7</f>
        <v>vladimir.ortiz@latam.com</v>
      </c>
    </row>
    <row r="8" spans="1:7">
      <c r="A8" s="396" t="s">
        <v>463</v>
      </c>
      <c r="B8" s="399" t="s">
        <v>464</v>
      </c>
      <c r="C8" s="395" t="s">
        <v>465</v>
      </c>
      <c r="D8" s="335" t="s">
        <v>466</v>
      </c>
      <c r="E8" s="397" t="s">
        <v>14</v>
      </c>
      <c r="F8" s="122">
        <f t="shared" ca="1" si="0"/>
        <v>4544544844</v>
      </c>
      <c r="G8" s="392" t="str">
        <f>C8</f>
        <v>alvaro.benavides@latam.com</v>
      </c>
    </row>
    <row r="9" spans="1:7">
      <c r="A9" s="396" t="s">
        <v>467</v>
      </c>
      <c r="B9" s="399" t="s">
        <v>468</v>
      </c>
      <c r="C9" s="395" t="s">
        <v>469</v>
      </c>
      <c r="D9" s="335" t="s">
        <v>470</v>
      </c>
      <c r="E9" s="397" t="s">
        <v>14</v>
      </c>
      <c r="F9" s="122">
        <f t="shared" ca="1" si="0"/>
        <v>7126526524</v>
      </c>
      <c r="G9" s="392" t="str">
        <f>C9</f>
        <v>daniel.giraldo@latam.com</v>
      </c>
    </row>
    <row r="10" spans="1:7">
      <c r="A10" s="396" t="s">
        <v>471</v>
      </c>
      <c r="B10" s="399" t="s">
        <v>472</v>
      </c>
      <c r="C10" s="395" t="s">
        <v>473</v>
      </c>
      <c r="D10" s="335" t="s">
        <v>474</v>
      </c>
      <c r="E10" s="397" t="s">
        <v>14</v>
      </c>
      <c r="F10" s="122">
        <f t="shared" ca="1" si="0"/>
        <v>5252366987</v>
      </c>
      <c r="G10" s="392" t="str">
        <f>C10</f>
        <v>jorge.ortega@latam.com</v>
      </c>
    </row>
    <row r="11" spans="1:7">
      <c r="A11" s="396" t="s">
        <v>475</v>
      </c>
      <c r="B11" s="399" t="s">
        <v>476</v>
      </c>
      <c r="C11" s="395" t="s">
        <v>477</v>
      </c>
      <c r="D11" s="335" t="s">
        <v>478</v>
      </c>
      <c r="E11" s="397" t="s">
        <v>14</v>
      </c>
      <c r="F11" s="122">
        <f t="shared" ca="1" si="0"/>
        <v>9463256223</v>
      </c>
      <c r="G11" s="392" t="str">
        <f>C11</f>
        <v>juan.valencia@latam.com</v>
      </c>
    </row>
    <row r="12" spans="1:7">
      <c r="A12" s="396" t="s">
        <v>479</v>
      </c>
      <c r="B12" s="399" t="s">
        <v>480</v>
      </c>
      <c r="C12" s="395" t="s">
        <v>481</v>
      </c>
      <c r="D12" s="335" t="s">
        <v>482</v>
      </c>
      <c r="E12" s="397" t="s">
        <v>14</v>
      </c>
      <c r="F12" s="122">
        <f t="shared" ca="1" si="0"/>
        <v>1040278781</v>
      </c>
      <c r="G12" s="392" t="str">
        <f>C12</f>
        <v>paola.hoyos@latam.com</v>
      </c>
    </row>
    <row r="13" spans="1:7">
      <c r="A13" s="396" t="s">
        <v>483</v>
      </c>
      <c r="B13" s="399" t="s">
        <v>484</v>
      </c>
      <c r="C13" s="395" t="s">
        <v>485</v>
      </c>
      <c r="D13" s="335" t="s">
        <v>486</v>
      </c>
      <c r="E13" s="397" t="s">
        <v>14</v>
      </c>
      <c r="F13" s="122">
        <f t="shared" ca="1" si="0"/>
        <v>6728980096</v>
      </c>
      <c r="G13" s="392" t="str">
        <f>C13</f>
        <v>luis.vasquez@latam.com</v>
      </c>
    </row>
    <row r="14" spans="1:7">
      <c r="A14" s="396" t="s">
        <v>487</v>
      </c>
      <c r="B14" s="399" t="s">
        <v>488</v>
      </c>
      <c r="C14" s="395" t="s">
        <v>489</v>
      </c>
      <c r="D14" s="335" t="s">
        <v>490</v>
      </c>
      <c r="E14" s="397" t="s">
        <v>9</v>
      </c>
      <c r="F14" s="122">
        <f t="shared" ca="1" si="0"/>
        <v>9294573253</v>
      </c>
      <c r="G14" s="392" t="str">
        <f>C14</f>
        <v>jose.maya@latam.com</v>
      </c>
    </row>
    <row r="15" spans="1:7">
      <c r="A15" s="396" t="s">
        <v>491</v>
      </c>
      <c r="B15" s="399" t="s">
        <v>492</v>
      </c>
      <c r="C15" s="395" t="s">
        <v>493</v>
      </c>
      <c r="D15" s="335" t="s">
        <v>494</v>
      </c>
      <c r="E15" s="397" t="s">
        <v>9</v>
      </c>
      <c r="F15" s="122">
        <f t="shared" ca="1" si="0"/>
        <v>7211967413</v>
      </c>
      <c r="G15" s="392" t="str">
        <f>C15</f>
        <v>juan.montejo@latam.com</v>
      </c>
    </row>
    <row r="16" spans="1:7">
      <c r="A16" s="396" t="s">
        <v>495</v>
      </c>
      <c r="B16" s="399" t="s">
        <v>496</v>
      </c>
      <c r="C16" s="395" t="s">
        <v>497</v>
      </c>
      <c r="D16" s="335" t="s">
        <v>498</v>
      </c>
      <c r="E16" s="397" t="s">
        <v>9</v>
      </c>
      <c r="F16" s="122">
        <f t="shared" ca="1" si="0"/>
        <v>3987574031</v>
      </c>
      <c r="G16" s="392" t="str">
        <f>C16</f>
        <v>santiago.rojas@latam.com</v>
      </c>
    </row>
    <row r="17" spans="1:7">
      <c r="A17" s="396" t="s">
        <v>499</v>
      </c>
      <c r="B17" s="399" t="s">
        <v>500</v>
      </c>
      <c r="C17" s="395" t="s">
        <v>501</v>
      </c>
      <c r="D17" s="335" t="s">
        <v>502</v>
      </c>
      <c r="E17" s="397" t="s">
        <v>14</v>
      </c>
      <c r="F17" s="122">
        <f t="shared" ca="1" si="0"/>
        <v>3288286437</v>
      </c>
      <c r="G17" s="392" t="str">
        <f>C17</f>
        <v>alvaro.mercado@latam.com</v>
      </c>
    </row>
    <row r="18" spans="1:7">
      <c r="A18" s="396" t="s">
        <v>503</v>
      </c>
      <c r="B18" s="399" t="s">
        <v>504</v>
      </c>
      <c r="C18" s="395" t="s">
        <v>505</v>
      </c>
      <c r="D18" s="335" t="s">
        <v>506</v>
      </c>
      <c r="E18" s="397" t="s">
        <v>14</v>
      </c>
      <c r="F18" s="122">
        <f t="shared" ca="1" si="0"/>
        <v>7916739532</v>
      </c>
      <c r="G18" s="392" t="str">
        <f>C18</f>
        <v>juan.gutierrez@latam.com</v>
      </c>
    </row>
    <row r="19" spans="1:7">
      <c r="A19" s="396" t="s">
        <v>507</v>
      </c>
      <c r="B19" s="399" t="s">
        <v>508</v>
      </c>
      <c r="C19" s="395" t="s">
        <v>509</v>
      </c>
      <c r="D19" s="335" t="s">
        <v>510</v>
      </c>
      <c r="E19" s="397" t="s">
        <v>14</v>
      </c>
      <c r="F19" s="122">
        <f t="shared" ca="1" si="0"/>
        <v>1603491052</v>
      </c>
      <c r="G19" s="392" t="str">
        <f>C19</f>
        <v>yamil.castelblanco@latam.com</v>
      </c>
    </row>
    <row r="20" spans="1:7">
      <c r="A20" s="396" t="s">
        <v>511</v>
      </c>
      <c r="B20" s="399" t="s">
        <v>512</v>
      </c>
      <c r="C20" s="395" t="s">
        <v>513</v>
      </c>
      <c r="D20" s="335" t="s">
        <v>514</v>
      </c>
      <c r="E20" s="397" t="s">
        <v>14</v>
      </c>
      <c r="F20" s="122">
        <f t="shared" ca="1" si="0"/>
        <v>5009865044</v>
      </c>
      <c r="G20" s="392" t="str">
        <f>C20</f>
        <v>antonio.calderon@latam.com</v>
      </c>
    </row>
    <row r="21" spans="1:7">
      <c r="A21" s="396" t="s">
        <v>515</v>
      </c>
      <c r="B21" s="399" t="s">
        <v>516</v>
      </c>
      <c r="C21" s="395" t="s">
        <v>517</v>
      </c>
      <c r="D21" s="335" t="s">
        <v>518</v>
      </c>
      <c r="E21" s="397" t="s">
        <v>9</v>
      </c>
      <c r="F21" s="122">
        <f t="shared" ca="1" si="0"/>
        <v>8371499181</v>
      </c>
      <c r="G21" s="392" t="str">
        <f>C21</f>
        <v>alvaro.naranjo@latam.com</v>
      </c>
    </row>
    <row r="22" spans="1:7">
      <c r="A22" s="396" t="s">
        <v>519</v>
      </c>
      <c r="B22" s="399" t="s">
        <v>520</v>
      </c>
      <c r="C22" s="395" t="s">
        <v>521</v>
      </c>
      <c r="D22" s="335" t="s">
        <v>522</v>
      </c>
      <c r="E22" s="397" t="s">
        <v>9</v>
      </c>
      <c r="F22" s="122">
        <f ca="1">RANDBETWEEN(0,9999999999)</f>
        <v>4921763000</v>
      </c>
      <c r="G22" s="392" t="str">
        <f>C22</f>
        <v>andres.alvarez@latam.com</v>
      </c>
    </row>
    <row r="23" spans="1:7">
      <c r="A23" s="371" t="s">
        <v>523</v>
      </c>
      <c r="B23" s="398" t="s">
        <v>524</v>
      </c>
      <c r="C23" s="395" t="s">
        <v>525</v>
      </c>
      <c r="D23" s="335" t="s">
        <v>526</v>
      </c>
      <c r="E23" s="131" t="s">
        <v>9</v>
      </c>
      <c r="F23" s="122">
        <v>1036952691</v>
      </c>
      <c r="G23" s="392" t="str">
        <f>C23</f>
        <v>jose.londono@latam.com</v>
      </c>
    </row>
    <row r="24" spans="1:7">
      <c r="A24" s="4"/>
      <c r="B24" s="4"/>
      <c r="C24" s="4"/>
      <c r="D24" s="4"/>
      <c r="E24" s="4"/>
    </row>
    <row r="25" spans="1:7">
      <c r="A25" s="4"/>
      <c r="B25" s="4"/>
      <c r="C25" s="4"/>
      <c r="D25" s="4"/>
      <c r="E25" s="4"/>
    </row>
    <row r="27" spans="1:7">
      <c r="A27" s="4"/>
      <c r="B27" s="4"/>
      <c r="C27" s="4"/>
      <c r="D27" s="4"/>
      <c r="E27" s="4"/>
    </row>
    <row r="28" spans="1:7">
      <c r="A28" s="4"/>
      <c r="B28" s="4"/>
      <c r="C28" s="4"/>
      <c r="D28" s="4"/>
      <c r="E28" s="4"/>
    </row>
    <row r="29" spans="1:7">
      <c r="A29" s="4"/>
      <c r="B29" s="4"/>
      <c r="C29" s="4"/>
      <c r="D29" s="4"/>
      <c r="E29" s="4"/>
    </row>
    <row r="30" spans="1:7">
      <c r="A30" s="4"/>
      <c r="B30" s="4"/>
      <c r="C30" s="4"/>
      <c r="D30" s="4"/>
      <c r="E30" s="4"/>
    </row>
    <row r="31" spans="1:7">
      <c r="A31" s="4"/>
      <c r="B31" s="4"/>
      <c r="C31" s="4"/>
      <c r="D31" s="4"/>
      <c r="E31" s="4"/>
    </row>
    <row r="32" spans="1:7">
      <c r="A32" s="4"/>
      <c r="B32" s="4"/>
      <c r="C32" s="4"/>
      <c r="D32" s="4"/>
      <c r="E32" s="4"/>
    </row>
    <row r="33" s="4" customFormat="1"/>
    <row r="34" s="4" customFormat="1"/>
    <row r="35" s="4" customFormat="1"/>
    <row r="36" s="4" customFormat="1"/>
    <row r="37" s="4" customFormat="1"/>
    <row r="38" s="4" customFormat="1"/>
    <row r="39" s="4" customFormat="1"/>
    <row r="40" s="4" customFormat="1"/>
  </sheetData>
  <hyperlinks>
    <hyperlink ref="F1" location="Empleado_Caracterización!A1" display="Caracterización objeto &gt;&gt;" xr:uid="{3177E6DE-F37D-4BFE-A01E-712C66DFEAFD}"/>
    <hyperlink ref="A1" location="'Modelo Dominio Anémico'!A1" display="&lt;&lt; Modelo de dominio &gt;&gt;" xr:uid="{721A67A9-7240-4B5B-91C0-2280A4D4C007}"/>
    <hyperlink ref="B1" location="'Objetos Dominio'!A1" display="&lt;&lt; Objetos de dominio" xr:uid="{D99D93C4-7370-4A4D-9731-A04524FB6425}"/>
    <hyperlink ref="C23" r:id="rId1" xr:uid="{93A58BE9-1889-443E-8C90-B50623F90687}"/>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2179-8903-4C50-8AF2-579D7AFE1657}">
  <sheetPr>
    <tabColor theme="5" tint="0.39997558519241921"/>
  </sheetPr>
  <dimension ref="A1:Z40"/>
  <sheetViews>
    <sheetView workbookViewId="0">
      <selection activeCell="I35" sqref="I35"/>
    </sheetView>
  </sheetViews>
  <sheetFormatPr defaultColWidth="10.85546875" defaultRowHeight="15"/>
  <cols>
    <col min="1" max="1" width="42.28515625" style="4" bestFit="1" customWidth="1"/>
    <col min="2" max="2" width="51.140625" style="4" customWidth="1"/>
    <col min="3" max="4" width="38.5703125" style="4" customWidth="1"/>
    <col min="5" max="5" width="27.5703125" style="4" customWidth="1"/>
    <col min="6" max="6" width="24.5703125" style="4" bestFit="1" customWidth="1"/>
    <col min="7" max="7" width="19.42578125" style="4" customWidth="1"/>
    <col min="8" max="8" width="32.42578125" style="4" bestFit="1" customWidth="1"/>
    <col min="9" max="9" width="29.42578125" style="4" bestFit="1" customWidth="1"/>
    <col min="10" max="10" width="40.5703125" style="4" customWidth="1"/>
    <col min="11" max="11" width="16.85546875" style="4" customWidth="1"/>
    <col min="12" max="12" width="11.42578125" style="4" bestFit="1"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91.42578125" style="4" customWidth="1"/>
    <col min="23" max="23" width="35" style="4" customWidth="1"/>
    <col min="24" max="24" width="33.42578125" style="4" customWidth="1"/>
    <col min="25" max="25" width="37.140625" style="4" customWidth="1"/>
    <col min="26" max="26" width="30.85546875" style="4" customWidth="1"/>
    <col min="27" max="16384" width="10.85546875" style="4"/>
  </cols>
  <sheetData>
    <row r="1" spans="1:26" customFormat="1">
      <c r="A1" s="58" t="s">
        <v>46</v>
      </c>
      <c r="B1" s="69" t="s">
        <v>74</v>
      </c>
      <c r="C1" s="69" t="s">
        <v>75</v>
      </c>
    </row>
    <row r="2" spans="1:26" s="60" customFormat="1">
      <c r="A2" s="59" t="str">
        <f>'Objetos Dominio'!$A$2</f>
        <v>Nombre</v>
      </c>
      <c r="B2" s="730" t="str">
        <f>'Objetos Dominio'!$A$10</f>
        <v>Empleado Aerolínea</v>
      </c>
      <c r="C2" s="730"/>
      <c r="D2" s="730"/>
      <c r="E2" s="730"/>
      <c r="F2" s="730"/>
      <c r="G2" s="730"/>
      <c r="H2" s="730"/>
      <c r="I2" s="730"/>
      <c r="J2" s="730"/>
      <c r="K2" s="730"/>
      <c r="L2" s="730"/>
      <c r="M2" s="730"/>
      <c r="N2" s="730"/>
      <c r="O2" s="730"/>
      <c r="P2" s="730"/>
      <c r="Q2" s="730"/>
      <c r="R2" s="730"/>
      <c r="S2" s="730"/>
      <c r="T2" s="730"/>
      <c r="U2" s="730"/>
    </row>
    <row r="3" spans="1:26" s="60" customFormat="1" ht="14.1" customHeight="1">
      <c r="A3" s="59" t="str">
        <f>'Objetos Dominio'!$B$2</f>
        <v>Tipo</v>
      </c>
      <c r="B3" s="731" t="str">
        <f>'Objetos Dominio'!$B$10</f>
        <v>Referenciado</v>
      </c>
      <c r="C3" s="731"/>
      <c r="D3" s="731"/>
      <c r="E3" s="731"/>
      <c r="F3" s="731"/>
      <c r="G3" s="731"/>
      <c r="H3" s="731"/>
      <c r="I3" s="731"/>
      <c r="J3" s="731"/>
      <c r="K3" s="731"/>
      <c r="L3" s="731"/>
      <c r="M3" s="731"/>
      <c r="N3" s="731"/>
      <c r="O3" s="731"/>
      <c r="P3" s="731"/>
      <c r="Q3" s="731"/>
      <c r="R3" s="731"/>
      <c r="S3" s="731"/>
      <c r="T3" s="731"/>
      <c r="U3" s="731"/>
    </row>
    <row r="4" spans="1:26" s="60" customFormat="1" ht="14.1" customHeight="1">
      <c r="A4" s="59" t="str">
        <f>'Objetos Dominio'!$C$2</f>
        <v>Contexto Origen</v>
      </c>
      <c r="B4" s="731">
        <f>'Objetos Dominio'!$C$10</f>
        <v>0</v>
      </c>
      <c r="C4" s="731"/>
      <c r="D4" s="731"/>
      <c r="E4" s="731"/>
      <c r="F4" s="731"/>
      <c r="G4" s="731"/>
      <c r="H4" s="731"/>
      <c r="I4" s="731"/>
      <c r="J4" s="731"/>
      <c r="K4" s="731"/>
      <c r="L4" s="731"/>
      <c r="M4" s="731"/>
      <c r="N4" s="731"/>
      <c r="O4" s="731"/>
      <c r="P4" s="731"/>
      <c r="Q4" s="731"/>
      <c r="R4" s="731"/>
      <c r="S4" s="731"/>
      <c r="T4" s="731"/>
      <c r="U4" s="731"/>
    </row>
    <row r="5" spans="1:26" s="60" customFormat="1" ht="14.1" customHeight="1">
      <c r="A5" s="59" t="str">
        <f>'Objetos Dominio'!$D$2</f>
        <v>Descripción</v>
      </c>
      <c r="B5" s="731" t="str">
        <f>'Objetos Dominio'!$D$10</f>
        <v>Objeto de dominio que representa el nombre y la fecha de inicio y salida y vigencia  de ese empleado en la aerolínea asignada</v>
      </c>
      <c r="C5" s="731"/>
      <c r="D5" s="731"/>
      <c r="E5" s="731"/>
      <c r="F5" s="731"/>
      <c r="G5" s="731"/>
      <c r="H5" s="731"/>
      <c r="I5" s="731"/>
      <c r="J5" s="731"/>
      <c r="K5" s="731"/>
      <c r="L5" s="731"/>
      <c r="M5" s="731"/>
      <c r="N5" s="731"/>
      <c r="O5" s="731"/>
      <c r="P5" s="731"/>
      <c r="Q5" s="731"/>
      <c r="R5" s="731"/>
      <c r="S5" s="731"/>
      <c r="T5" s="731"/>
      <c r="U5" s="731"/>
    </row>
    <row r="6" spans="1:26" s="60" customFormat="1">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577" t="str">
        <f>A31</f>
        <v>Consultar información de un empleado aerolínea</v>
      </c>
      <c r="W6" s="577" t="str">
        <f>A32</f>
        <v>Editar Empleado Aerolínea</v>
      </c>
      <c r="X6" s="577" t="str">
        <f>A35</f>
        <v>Agregar Empleado Aerolínea</v>
      </c>
      <c r="Y6" s="577" t="str">
        <f>A37</f>
        <v>Activar empleado aerolínea</v>
      </c>
      <c r="Z6" s="578" t="str">
        <f>A39</f>
        <v>Inactivar empleado aerolínea</v>
      </c>
    </row>
    <row r="7" spans="1:26" s="60" customFormat="1" ht="53.25">
      <c r="A7" s="63" t="str">
        <f>TipoIntegrante_Muestreo!$A$3</f>
        <v>Id</v>
      </c>
      <c r="B7" s="64" t="s">
        <v>17</v>
      </c>
      <c r="C7" s="64">
        <v>36</v>
      </c>
      <c r="D7" s="64">
        <v>36</v>
      </c>
      <c r="E7" s="64"/>
      <c r="F7" s="64"/>
      <c r="G7" s="64"/>
      <c r="H7" s="64"/>
      <c r="I7" s="64"/>
      <c r="J7" s="67" t="s">
        <v>252</v>
      </c>
      <c r="K7" s="64"/>
      <c r="L7" s="65"/>
      <c r="M7" s="66" t="s">
        <v>14</v>
      </c>
      <c r="N7" s="66" t="s">
        <v>14</v>
      </c>
      <c r="O7" s="66" t="s">
        <v>14</v>
      </c>
      <c r="P7" s="66" t="s">
        <v>14</v>
      </c>
      <c r="Q7" s="66" t="s">
        <v>9</v>
      </c>
      <c r="R7" s="66" t="s">
        <v>14</v>
      </c>
      <c r="S7" s="66" t="s">
        <v>14</v>
      </c>
      <c r="T7" s="66" t="s">
        <v>9</v>
      </c>
      <c r="U7" s="87" t="str">
        <f>EmpleadoAerolinea_Muestreo!$A$2</f>
        <v xml:space="preserve">Corresponde a un identificador único del usuario dentro del objeto de dominio EmpleadoAerolinea. </v>
      </c>
      <c r="V7" s="573" t="s">
        <v>97</v>
      </c>
      <c r="W7" s="572" t="s">
        <v>253</v>
      </c>
      <c r="X7" s="572" t="s">
        <v>98</v>
      </c>
      <c r="Y7" s="572" t="s">
        <v>98</v>
      </c>
      <c r="Z7" s="572" t="s">
        <v>98</v>
      </c>
    </row>
    <row r="8" spans="1:26" s="60" customFormat="1" ht="45" customHeight="1">
      <c r="A8" s="63" t="str">
        <f>EmpleadoAerolinea_Muestreo!$B$3</f>
        <v>Aerolínea</v>
      </c>
      <c r="B8" s="96" t="s">
        <v>35</v>
      </c>
      <c r="C8" s="64"/>
      <c r="D8" s="64"/>
      <c r="E8" s="64"/>
      <c r="F8" s="64"/>
      <c r="G8" s="64"/>
      <c r="H8" s="64"/>
      <c r="I8" s="64"/>
      <c r="J8" s="64"/>
      <c r="K8" s="64"/>
      <c r="L8" s="65"/>
      <c r="M8" s="66" t="s">
        <v>14</v>
      </c>
      <c r="N8" s="66" t="s">
        <v>14</v>
      </c>
      <c r="O8" s="66" t="s">
        <v>9</v>
      </c>
      <c r="P8" s="66" t="s">
        <v>14</v>
      </c>
      <c r="Q8" s="66" t="s">
        <v>9</v>
      </c>
      <c r="R8" s="66" t="s">
        <v>14</v>
      </c>
      <c r="S8" s="66" t="s">
        <v>14</v>
      </c>
      <c r="T8" s="66" t="s">
        <v>9</v>
      </c>
      <c r="U8" s="87" t="str">
        <f>EmpleadoAerolinea_Muestreo!$B$2</f>
        <v xml:space="preserve">Corresponde a que aerolínea pertenece el usuario. </v>
      </c>
      <c r="V8" s="573" t="s">
        <v>527</v>
      </c>
      <c r="W8" s="572" t="s">
        <v>254</v>
      </c>
      <c r="X8" s="572" t="s">
        <v>98</v>
      </c>
      <c r="Y8" s="572" t="s">
        <v>255</v>
      </c>
      <c r="Z8" s="572" t="s">
        <v>165</v>
      </c>
    </row>
    <row r="9" spans="1:26" s="60" customFormat="1" ht="63" customHeight="1">
      <c r="A9" s="63" t="str">
        <f>EmpleadoAerolinea_Muestreo!$C$3</f>
        <v>Empleado</v>
      </c>
      <c r="B9" s="96" t="s">
        <v>39</v>
      </c>
      <c r="C9" s="64"/>
      <c r="D9" s="64"/>
      <c r="E9" s="64"/>
      <c r="F9" s="64"/>
      <c r="G9" s="64"/>
      <c r="H9" s="64"/>
      <c r="I9" s="64"/>
      <c r="J9" s="64"/>
      <c r="K9" s="64"/>
      <c r="L9" s="65"/>
      <c r="M9" s="66" t="s">
        <v>14</v>
      </c>
      <c r="N9" s="66" t="s">
        <v>14</v>
      </c>
      <c r="O9" s="66" t="s">
        <v>14</v>
      </c>
      <c r="P9" s="66" t="s">
        <v>14</v>
      </c>
      <c r="Q9" s="66" t="s">
        <v>9</v>
      </c>
      <c r="R9" s="66" t="s">
        <v>9</v>
      </c>
      <c r="S9" s="66" t="s">
        <v>14</v>
      </c>
      <c r="T9" s="66" t="s">
        <v>14</v>
      </c>
      <c r="U9" s="87" t="str">
        <f>EmpleadoAerolinea_Muestreo!$C$2</f>
        <v xml:space="preserve">Corresponde al número de identificación  del usuario. </v>
      </c>
      <c r="V9" s="579" t="s">
        <v>528</v>
      </c>
      <c r="W9" s="572" t="s">
        <v>254</v>
      </c>
      <c r="X9" s="572" t="s">
        <v>98</v>
      </c>
      <c r="Y9" s="572" t="s">
        <v>255</v>
      </c>
      <c r="Z9" s="572" t="s">
        <v>165</v>
      </c>
    </row>
    <row r="10" spans="1:26" s="60" customFormat="1" ht="45" customHeight="1">
      <c r="A10" s="63" t="str">
        <f>EmpleadoAerolinea_Muestreo!$D$3</f>
        <v>BP</v>
      </c>
      <c r="B10" s="64" t="s">
        <v>19</v>
      </c>
      <c r="C10" s="64">
        <v>1</v>
      </c>
      <c r="D10" s="64">
        <v>10</v>
      </c>
      <c r="E10" s="64"/>
      <c r="F10" s="64"/>
      <c r="G10" s="64"/>
      <c r="H10" s="64"/>
      <c r="I10" s="64"/>
      <c r="J10" s="64"/>
      <c r="K10" s="64"/>
      <c r="L10" s="65"/>
      <c r="M10" s="66" t="s">
        <v>9</v>
      </c>
      <c r="N10" s="66" t="s">
        <v>9</v>
      </c>
      <c r="O10" s="66" t="s">
        <v>14</v>
      </c>
      <c r="P10" s="66" t="s">
        <v>14</v>
      </c>
      <c r="Q10" s="66" t="s">
        <v>9</v>
      </c>
      <c r="R10" s="66" t="s">
        <v>9</v>
      </c>
      <c r="S10" s="66" t="s">
        <v>14</v>
      </c>
      <c r="T10" s="66" t="s">
        <v>14</v>
      </c>
      <c r="U10" s="87" t="str">
        <f>EmpleadoAerolinea_Muestreo!$D$2</f>
        <v xml:space="preserve">Corresponde al código de la aerolínea a la que pertenece  el empleado. </v>
      </c>
      <c r="V10" s="574" t="s">
        <v>393</v>
      </c>
      <c r="W10" s="572" t="s">
        <v>254</v>
      </c>
      <c r="X10" s="572" t="s">
        <v>98</v>
      </c>
      <c r="Y10" s="572" t="s">
        <v>255</v>
      </c>
      <c r="Z10" s="572" t="s">
        <v>165</v>
      </c>
    </row>
    <row r="11" spans="1:26" s="3" customFormat="1" ht="30.75" customHeight="1">
      <c r="A11" s="110" t="str">
        <f>EmpleadoAerolinea_Muestreo!$E$3</f>
        <v>FechaInicio</v>
      </c>
      <c r="B11" s="64" t="s">
        <v>22</v>
      </c>
      <c r="C11" s="64">
        <v>1</v>
      </c>
      <c r="D11" s="64">
        <v>10</v>
      </c>
      <c r="E11" s="64"/>
      <c r="F11" s="64"/>
      <c r="G11" s="64"/>
      <c r="H11" s="64"/>
      <c r="I11" s="64"/>
      <c r="J11" s="64"/>
      <c r="K11" s="64"/>
      <c r="L11" s="65"/>
      <c r="M11" s="66" t="s">
        <v>9</v>
      </c>
      <c r="N11" s="66" t="s">
        <v>9</v>
      </c>
      <c r="O11" s="66" t="s">
        <v>14</v>
      </c>
      <c r="P11" s="66" t="s">
        <v>14</v>
      </c>
      <c r="Q11" s="66" t="s">
        <v>9</v>
      </c>
      <c r="R11" s="66" t="s">
        <v>9</v>
      </c>
      <c r="S11" s="66" t="s">
        <v>14</v>
      </c>
      <c r="T11" s="66" t="s">
        <v>14</v>
      </c>
      <c r="U11" s="87" t="str">
        <f>EmpleadoAerolinea_Muestreo!$E$2</f>
        <v xml:space="preserve">Corresponde a la fecha de inicio  del empleado. </v>
      </c>
      <c r="V11" s="575" t="s">
        <v>169</v>
      </c>
      <c r="W11" s="572" t="s">
        <v>254</v>
      </c>
      <c r="X11" s="572" t="s">
        <v>98</v>
      </c>
      <c r="Y11" s="572" t="s">
        <v>255</v>
      </c>
      <c r="Z11" s="576" t="s">
        <v>165</v>
      </c>
    </row>
    <row r="12" spans="1:26" s="60" customFormat="1" ht="36.75" customHeight="1">
      <c r="A12" s="110" t="str">
        <f>EmpleadoAerolinea_Muestreo!$F$3</f>
        <v>FechaSalida</v>
      </c>
      <c r="B12" s="64" t="s">
        <v>22</v>
      </c>
      <c r="C12" s="64">
        <v>1</v>
      </c>
      <c r="D12" s="64">
        <v>10</v>
      </c>
      <c r="E12" s="64"/>
      <c r="F12" s="64"/>
      <c r="G12" s="64"/>
      <c r="H12" s="64"/>
      <c r="I12" s="64"/>
      <c r="J12" s="64"/>
      <c r="K12" s="64"/>
      <c r="L12" s="65"/>
      <c r="M12" s="66" t="s">
        <v>9</v>
      </c>
      <c r="N12" s="66" t="s">
        <v>9</v>
      </c>
      <c r="O12" s="66" t="s">
        <v>14</v>
      </c>
      <c r="P12" s="66" t="s">
        <v>14</v>
      </c>
      <c r="Q12" s="66" t="s">
        <v>9</v>
      </c>
      <c r="R12" s="66" t="s">
        <v>9</v>
      </c>
      <c r="S12" s="66" t="s">
        <v>14</v>
      </c>
      <c r="T12" s="66" t="s">
        <v>14</v>
      </c>
      <c r="U12" s="87" t="str">
        <f>EmpleadoAerolinea_Muestreo!$F$2</f>
        <v>Corresponde a la fecha de salida del empleado.</v>
      </c>
      <c r="V12" s="575" t="s">
        <v>317</v>
      </c>
      <c r="W12" s="572" t="s">
        <v>254</v>
      </c>
      <c r="X12" s="572" t="s">
        <v>98</v>
      </c>
      <c r="Y12" s="572" t="s">
        <v>255</v>
      </c>
      <c r="Z12" s="576" t="s">
        <v>165</v>
      </c>
    </row>
    <row r="13" spans="1:26" s="60" customFormat="1" ht="40.5" customHeight="1">
      <c r="A13" s="110" t="str">
        <f>EmpleadoAerolinea_Muestreo!$G$3</f>
        <v>Vigente</v>
      </c>
      <c r="B13" s="64" t="s">
        <v>21</v>
      </c>
      <c r="C13" s="64">
        <v>1</v>
      </c>
      <c r="D13" s="64">
        <v>10</v>
      </c>
      <c r="E13" s="64"/>
      <c r="F13" s="64"/>
      <c r="G13" s="64"/>
      <c r="H13" s="64"/>
      <c r="I13" s="64"/>
      <c r="J13" s="64"/>
      <c r="K13" s="64"/>
      <c r="L13" s="65"/>
      <c r="M13" s="66" t="s">
        <v>9</v>
      </c>
      <c r="N13" s="66" t="s">
        <v>9</v>
      </c>
      <c r="O13" s="66" t="s">
        <v>14</v>
      </c>
      <c r="P13" s="66" t="s">
        <v>14</v>
      </c>
      <c r="Q13" s="66" t="s">
        <v>9</v>
      </c>
      <c r="R13" s="66" t="s">
        <v>9</v>
      </c>
      <c r="S13" s="66" t="s">
        <v>14</v>
      </c>
      <c r="T13" s="66" t="s">
        <v>14</v>
      </c>
      <c r="U13" s="87" t="str">
        <f>EmpleadoAerolinea_Muestreo!$G$2</f>
        <v xml:space="preserve">Corresponde al estado actual  del empleado. </v>
      </c>
      <c r="V13" s="575" t="s">
        <v>318</v>
      </c>
      <c r="W13" s="572" t="s">
        <v>254</v>
      </c>
      <c r="X13" s="572" t="s">
        <v>98</v>
      </c>
      <c r="Y13" s="572" t="s">
        <v>255</v>
      </c>
      <c r="Z13" s="576" t="s">
        <v>165</v>
      </c>
    </row>
    <row r="14" spans="1:26" s="60" customFormat="1" ht="39" customHeight="1"/>
    <row r="15" spans="1:26" s="60" customFormat="1" ht="39" customHeight="1">
      <c r="A15" s="733" t="s">
        <v>106</v>
      </c>
      <c r="B15" s="734"/>
      <c r="C15" s="735"/>
    </row>
    <row r="16" spans="1:26">
      <c r="A16" s="70" t="s">
        <v>107</v>
      </c>
      <c r="B16" s="71" t="s">
        <v>49</v>
      </c>
      <c r="C16" s="72" t="s">
        <v>108</v>
      </c>
    </row>
    <row r="17" spans="1:11" ht="26.1" customHeight="1">
      <c r="A17" s="84" t="s">
        <v>110</v>
      </c>
      <c r="B17" s="794" t="str">
        <f>EmpleadoAerolinea_Muestreo!$I$2</f>
        <v xml:space="preserve">El nombre  del empleado y el código bp de la aerolínea  no pueden repetirse. </v>
      </c>
      <c r="C17" s="85" t="s">
        <v>529</v>
      </c>
    </row>
    <row r="18" spans="1:11">
      <c r="A18" s="73" t="s">
        <v>109</v>
      </c>
      <c r="B18" s="795"/>
      <c r="C18" s="85" t="s">
        <v>530</v>
      </c>
    </row>
    <row r="29" spans="1:11">
      <c r="A29" s="155" t="s">
        <v>111</v>
      </c>
      <c r="B29" s="156" t="s">
        <v>49</v>
      </c>
      <c r="C29" s="157"/>
      <c r="D29" s="158" t="s">
        <v>112</v>
      </c>
      <c r="E29" s="159"/>
      <c r="F29" s="157"/>
      <c r="G29" s="158" t="s">
        <v>113</v>
      </c>
      <c r="H29" s="726" t="s">
        <v>114</v>
      </c>
      <c r="I29" s="727"/>
      <c r="J29" s="728" t="s">
        <v>115</v>
      </c>
      <c r="K29" s="729"/>
    </row>
    <row r="30" spans="1:11">
      <c r="A30" s="160"/>
      <c r="B30" s="161"/>
      <c r="C30" s="157" t="s">
        <v>116</v>
      </c>
      <c r="D30" s="170" t="s">
        <v>117</v>
      </c>
      <c r="E30" s="188" t="s">
        <v>49</v>
      </c>
      <c r="F30" s="166" t="s">
        <v>77</v>
      </c>
      <c r="G30" s="188" t="s">
        <v>49</v>
      </c>
      <c r="H30" s="166" t="s">
        <v>118</v>
      </c>
      <c r="I30" s="159" t="s">
        <v>49</v>
      </c>
      <c r="J30" s="189" t="s">
        <v>119</v>
      </c>
      <c r="K30" s="166" t="s">
        <v>120</v>
      </c>
    </row>
    <row r="31" spans="1:11" ht="100.5" customHeight="1">
      <c r="A31" s="224" t="s">
        <v>531</v>
      </c>
      <c r="B31" s="221" t="s">
        <v>532</v>
      </c>
      <c r="C31" s="187" t="s">
        <v>123</v>
      </c>
      <c r="D31" s="659" t="s">
        <v>533</v>
      </c>
      <c r="E31" s="660" t="s">
        <v>124</v>
      </c>
      <c r="F31" s="209" t="s">
        <v>534</v>
      </c>
      <c r="G31" s="661" t="s">
        <v>535</v>
      </c>
      <c r="H31" s="167" t="s">
        <v>536</v>
      </c>
      <c r="I31" s="662" t="s">
        <v>128</v>
      </c>
      <c r="J31" s="662" t="s">
        <v>537</v>
      </c>
      <c r="K31" s="655" t="s">
        <v>130</v>
      </c>
    </row>
    <row r="32" spans="1:11" ht="57.75">
      <c r="A32" s="227" t="s">
        <v>538</v>
      </c>
      <c r="B32" s="163" t="s">
        <v>539</v>
      </c>
      <c r="C32" s="211" t="s">
        <v>133</v>
      </c>
      <c r="D32" s="655" t="s">
        <v>17</v>
      </c>
      <c r="E32" s="200" t="s">
        <v>540</v>
      </c>
      <c r="F32" s="180"/>
      <c r="G32" s="154"/>
      <c r="H32" s="173" t="s">
        <v>541</v>
      </c>
      <c r="I32" s="356" t="s">
        <v>542</v>
      </c>
      <c r="J32" s="648" t="s">
        <v>129</v>
      </c>
      <c r="K32" s="665" t="s">
        <v>130</v>
      </c>
    </row>
    <row r="33" spans="1:11" ht="91.5">
      <c r="A33" s="226"/>
      <c r="B33" s="223"/>
      <c r="C33" s="209" t="s">
        <v>267</v>
      </c>
      <c r="D33" s="658" t="s">
        <v>60</v>
      </c>
      <c r="E33" s="663" t="s">
        <v>543</v>
      </c>
      <c r="F33" s="181"/>
      <c r="G33" s="190"/>
      <c r="H33" s="203" t="s">
        <v>544</v>
      </c>
      <c r="I33" s="660" t="s">
        <v>185</v>
      </c>
      <c r="J33" s="664" t="s">
        <v>129</v>
      </c>
      <c r="K33" s="599" t="s">
        <v>130</v>
      </c>
    </row>
    <row r="34" spans="1:11" ht="45.75">
      <c r="A34" s="187"/>
      <c r="B34" s="209"/>
      <c r="C34" s="209"/>
      <c r="D34" s="789" t="s">
        <v>60</v>
      </c>
      <c r="E34" s="791" t="s">
        <v>545</v>
      </c>
      <c r="F34" s="183"/>
      <c r="G34" s="232"/>
      <c r="H34" s="358" t="s">
        <v>546</v>
      </c>
      <c r="I34" s="674" t="s">
        <v>547</v>
      </c>
      <c r="J34" s="497" t="s">
        <v>129</v>
      </c>
      <c r="K34" s="666" t="s">
        <v>130</v>
      </c>
    </row>
    <row r="35" spans="1:11" ht="45.75">
      <c r="A35" s="498" t="s">
        <v>548</v>
      </c>
      <c r="B35" s="649" t="s">
        <v>549</v>
      </c>
      <c r="C35" s="232" t="s">
        <v>267</v>
      </c>
      <c r="D35" s="790"/>
      <c r="E35" s="792"/>
      <c r="F35" s="183"/>
      <c r="G35" s="232"/>
      <c r="H35" s="358" t="s">
        <v>550</v>
      </c>
      <c r="I35" s="674" t="s">
        <v>551</v>
      </c>
      <c r="J35" s="497" t="s">
        <v>129</v>
      </c>
      <c r="K35" s="666" t="s">
        <v>130</v>
      </c>
    </row>
    <row r="36" spans="1:11" ht="76.5" customHeight="1">
      <c r="A36" s="650"/>
      <c r="B36" s="251"/>
      <c r="C36" s="248"/>
      <c r="D36" s="790"/>
      <c r="E36" s="793"/>
      <c r="F36" s="179"/>
      <c r="G36" s="205"/>
      <c r="H36" s="203" t="s">
        <v>544</v>
      </c>
      <c r="I36" s="673" t="s">
        <v>185</v>
      </c>
      <c r="J36" s="671" t="s">
        <v>129</v>
      </c>
      <c r="K36" s="667" t="s">
        <v>130</v>
      </c>
    </row>
    <row r="37" spans="1:11" ht="57.75">
      <c r="A37" s="445" t="s">
        <v>552</v>
      </c>
      <c r="B37" s="52" t="s">
        <v>553</v>
      </c>
      <c r="C37" s="656" t="s">
        <v>142</v>
      </c>
      <c r="D37" s="655" t="s">
        <v>17</v>
      </c>
      <c r="E37" s="678" t="s">
        <v>554</v>
      </c>
      <c r="F37" s="208"/>
      <c r="G37" s="639"/>
      <c r="H37" s="171" t="s">
        <v>555</v>
      </c>
      <c r="I37" s="651" t="s">
        <v>556</v>
      </c>
      <c r="J37" s="676" t="s">
        <v>129</v>
      </c>
      <c r="K37" s="209" t="s">
        <v>130</v>
      </c>
    </row>
    <row r="38" spans="1:11" ht="78" customHeight="1">
      <c r="A38" s="222"/>
      <c r="B38" s="229"/>
      <c r="C38" s="169" t="s">
        <v>557</v>
      </c>
      <c r="D38" s="169" t="s">
        <v>558</v>
      </c>
      <c r="E38" s="230"/>
      <c r="F38" s="197"/>
      <c r="G38" s="185"/>
      <c r="H38" s="165" t="s">
        <v>544</v>
      </c>
      <c r="I38" s="652" t="s">
        <v>185</v>
      </c>
      <c r="J38" s="677" t="s">
        <v>129</v>
      </c>
      <c r="K38" s="211" t="s">
        <v>130</v>
      </c>
    </row>
    <row r="39" spans="1:11" ht="57.75">
      <c r="A39" s="496" t="s">
        <v>559</v>
      </c>
      <c r="B39" s="52" t="s">
        <v>560</v>
      </c>
      <c r="C39" s="655" t="s">
        <v>142</v>
      </c>
      <c r="D39" s="211" t="s">
        <v>17</v>
      </c>
      <c r="E39" s="679" t="s">
        <v>554</v>
      </c>
      <c r="F39" s="208"/>
      <c r="G39" s="154"/>
      <c r="H39" s="171" t="s">
        <v>561</v>
      </c>
      <c r="I39" s="651" t="s">
        <v>136</v>
      </c>
      <c r="J39" s="668" t="s">
        <v>129</v>
      </c>
      <c r="K39" s="209" t="s">
        <v>130</v>
      </c>
    </row>
    <row r="40" spans="1:11" ht="85.5" customHeight="1">
      <c r="A40" s="222"/>
      <c r="B40" s="229"/>
      <c r="C40" s="654" t="s">
        <v>557</v>
      </c>
      <c r="D40" s="654" t="s">
        <v>558</v>
      </c>
      <c r="E40" s="499"/>
      <c r="F40" s="197"/>
      <c r="G40" s="185"/>
      <c r="H40" s="165" t="s">
        <v>544</v>
      </c>
      <c r="I40" s="653" t="s">
        <v>185</v>
      </c>
      <c r="J40" s="670" t="s">
        <v>129</v>
      </c>
      <c r="K40" s="211" t="s">
        <v>130</v>
      </c>
    </row>
  </sheetData>
  <mergeCells count="10">
    <mergeCell ref="D34:D36"/>
    <mergeCell ref="E34:E36"/>
    <mergeCell ref="H29:I29"/>
    <mergeCell ref="J29:K29"/>
    <mergeCell ref="B17:B18"/>
    <mergeCell ref="B2:U2"/>
    <mergeCell ref="B3:U3"/>
    <mergeCell ref="B4:U4"/>
    <mergeCell ref="B5:U5"/>
    <mergeCell ref="A15:C15"/>
  </mergeCells>
  <phoneticPr fontId="10" type="noConversion"/>
  <hyperlinks>
    <hyperlink ref="C1" location="EmpleadoAerolinea_Muestreo!A1" display="&lt;&lt; Muestreo Datos" xr:uid="{3F709AAF-8F7B-43C9-8B79-B5742F291B9A}"/>
    <hyperlink ref="C17" location="EmpleadoAerolinea_Caracterizac!A9" display="EmpleadoAerolinea_Caracterizac!A9" xr:uid="{A844CB9E-F473-4BD8-86C0-ED451A249487}"/>
    <hyperlink ref="A1" location="'Modelo Dominio Anémico'!A1" display="&lt;&lt; Modelo de dominio &gt;&gt;" xr:uid="{A086F646-1699-4E8D-BEAA-855FF503DBA4}"/>
    <hyperlink ref="B1" location="'Objetos Dominio'!A1" display="&lt;&lt; Objetos de dominio" xr:uid="{9134D315-4BB0-4A4C-ADD6-DF03B26D4828}"/>
    <hyperlink ref="B8" location="Aerolinea_Caracterización!A1" display="Aerolinea" xr:uid="{8B96CDB4-8E37-4FD1-AFF6-380D625A059B}"/>
    <hyperlink ref="B9" location="Empleado_Caracterización!A1" display="Empleado" xr:uid="{569AD817-CBEB-4C4C-AE94-160C966985D8}"/>
    <hyperlink ref="C18" location="EmpleadoAerolinea_Caracterizac!A10" display="aerolinea" xr:uid="{67E6F600-BC15-4D72-8D4B-DA6717CF6B49}"/>
    <hyperlink ref="V6" location="Objeto Dominio 2!A16" display="Registrar Información  Horario Sede" xr:uid="{6847AD6B-EB27-4ECA-901A-B4E78C78F133}"/>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4054485-7778-4ECE-857A-9376ECC1BEB4}">
          <x14:formula1>
            <xm:f>Valores!$F$2:$F$4</xm:f>
          </x14:formula1>
          <xm:sqref>G7</xm:sqref>
        </x14:dataValidation>
        <x14:dataValidation type="list" allowBlank="1" showInputMessage="1" showErrorMessage="1" xr:uid="{1016D9E8-DA2B-4DA3-B3D9-2EDB9A42B047}">
          <x14:formula1>
            <xm:f>Valores!$D$2:$D$3</xm:f>
          </x14:formula1>
          <xm:sqref>M7:T13</xm:sqref>
        </x14:dataValidation>
        <x14:dataValidation type="list" allowBlank="1" showInputMessage="1" showErrorMessage="1" xr:uid="{17EFA1BC-2B2D-4F31-B920-F12198CB84F6}">
          <x14:formula1>
            <xm:f>Valores!$E$2:$E$29</xm:f>
          </x14:formula1>
          <xm:sqref>B7:B13</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1D556-3CDA-49DF-BFF1-0B72BE8A2196}">
  <sheetPr>
    <tabColor theme="5" tint="0.39997558519241921"/>
  </sheetPr>
  <dimension ref="A1:I26"/>
  <sheetViews>
    <sheetView zoomScaleNormal="100" workbookViewId="0">
      <pane ySplit="3" topLeftCell="A4" activePane="bottomLeft" state="frozen"/>
      <selection pane="bottomLeft" activeCell="G27" sqref="G27"/>
    </sheetView>
  </sheetViews>
  <sheetFormatPr defaultColWidth="10.85546875" defaultRowHeight="14.45"/>
  <cols>
    <col min="1" max="1" width="38.5703125" style="4" customWidth="1"/>
    <col min="2" max="2" width="30.5703125" style="4" customWidth="1"/>
    <col min="3" max="3" width="30.42578125" style="4" customWidth="1"/>
    <col min="4" max="4" width="29" style="4" customWidth="1"/>
    <col min="5" max="5" width="22.42578125" style="4" customWidth="1"/>
    <col min="6" max="6" width="11.85546875" style="4" customWidth="1"/>
    <col min="7" max="7" width="27" style="4" customWidth="1"/>
    <col min="8" max="8" width="33" style="4" customWidth="1"/>
    <col min="9" max="9" width="29.5703125" style="4" customWidth="1"/>
    <col min="10" max="16384" width="10.85546875" style="4"/>
  </cols>
  <sheetData>
    <row r="1" spans="1:9" customFormat="1" ht="15" thickBot="1">
      <c r="A1" s="58" t="s">
        <v>46</v>
      </c>
      <c r="B1" s="69" t="s">
        <v>74</v>
      </c>
      <c r="C1" s="69" t="s">
        <v>145</v>
      </c>
    </row>
    <row r="2" spans="1:9" s="3" customFormat="1" ht="34.5">
      <c r="A2" s="8" t="s">
        <v>562</v>
      </c>
      <c r="B2" s="9" t="s">
        <v>563</v>
      </c>
      <c r="C2" s="9" t="s">
        <v>564</v>
      </c>
      <c r="D2" s="9" t="s">
        <v>565</v>
      </c>
      <c r="E2" s="9" t="s">
        <v>566</v>
      </c>
      <c r="F2" s="9" t="s">
        <v>567</v>
      </c>
      <c r="G2" s="9" t="s">
        <v>568</v>
      </c>
      <c r="H2" s="9" t="s">
        <v>569</v>
      </c>
      <c r="I2" s="9" t="s">
        <v>570</v>
      </c>
    </row>
    <row r="3" spans="1:9">
      <c r="A3" s="36" t="s">
        <v>133</v>
      </c>
      <c r="B3" s="103" t="s">
        <v>35</v>
      </c>
      <c r="C3" s="128" t="s">
        <v>39</v>
      </c>
      <c r="D3" s="113" t="s">
        <v>530</v>
      </c>
      <c r="E3" s="113" t="s">
        <v>571</v>
      </c>
      <c r="F3" s="113" t="s">
        <v>572</v>
      </c>
      <c r="G3" s="113" t="s">
        <v>557</v>
      </c>
      <c r="H3" s="114" t="s">
        <v>153</v>
      </c>
      <c r="I3" s="114" t="s">
        <v>153</v>
      </c>
    </row>
    <row r="4" spans="1:9">
      <c r="A4" s="38" t="s">
        <v>573</v>
      </c>
      <c r="B4" s="115" t="str">
        <f>Aerolinea_Muestreo!B4</f>
        <v>Latam Airlines</v>
      </c>
      <c r="C4" s="147">
        <f ca="1">Empleado_Muestreo!F4</f>
        <v>4793695555</v>
      </c>
      <c r="D4" s="145">
        <v>4472021</v>
      </c>
      <c r="E4" s="146">
        <v>43781</v>
      </c>
      <c r="F4" s="146">
        <v>45608</v>
      </c>
      <c r="G4" s="146" t="s">
        <v>8</v>
      </c>
      <c r="H4" s="116" t="str">
        <f ca="1">_xlfn.CONCAT(B4,"-",C4)</f>
        <v>Latam Airlines-4793695555</v>
      </c>
      <c r="I4" s="116" t="str">
        <f>_xlfn.CONCAT(B4,"-",D4)</f>
        <v>Latam Airlines-4472021</v>
      </c>
    </row>
    <row r="5" spans="1:9" ht="15" thickBot="1">
      <c r="A5" s="40" t="s">
        <v>574</v>
      </c>
      <c r="B5" s="115" t="str">
        <f>Aerolinea_Muestreo!B5</f>
        <v>Avianca</v>
      </c>
      <c r="C5" s="147">
        <f ca="1">Empleado_Muestreo!F5</f>
        <v>3076070479</v>
      </c>
      <c r="D5" s="145">
        <v>4472023</v>
      </c>
      <c r="E5" s="146">
        <v>43781</v>
      </c>
      <c r="F5" s="146">
        <v>46703</v>
      </c>
      <c r="G5" s="146" t="s">
        <v>8</v>
      </c>
      <c r="H5" s="116" t="str">
        <f t="shared" ref="H5:H23" ca="1" si="0">_xlfn.CONCAT(B5,"-",C5)</f>
        <v>Avianca-3076070479</v>
      </c>
      <c r="I5" s="116" t="str">
        <f t="shared" ref="I5:I23" ca="1" si="1">_xlfn.CONCAT(B5,"-",C5)</f>
        <v>Avianca-3076070479</v>
      </c>
    </row>
    <row r="6" spans="1:9">
      <c r="A6" s="117" t="s">
        <v>447</v>
      </c>
      <c r="B6" s="115" t="str">
        <f>Aerolinea_Muestreo!$B$4</f>
        <v>Latam Airlines</v>
      </c>
      <c r="C6" s="147">
        <f ca="1">Empleado_Muestreo!F6</f>
        <v>2624934007</v>
      </c>
      <c r="D6" s="145">
        <v>4472024</v>
      </c>
      <c r="E6" s="146">
        <v>43782</v>
      </c>
      <c r="F6" s="146">
        <v>46704</v>
      </c>
      <c r="G6" s="146" t="s">
        <v>8</v>
      </c>
      <c r="H6" s="116" t="str">
        <f t="shared" ca="1" si="0"/>
        <v>Latam Airlines-2624934007</v>
      </c>
      <c r="I6" s="116" t="str">
        <f t="shared" ca="1" si="1"/>
        <v>Latam Airlines-2624934007</v>
      </c>
    </row>
    <row r="7" spans="1:9">
      <c r="A7" s="117" t="s">
        <v>451</v>
      </c>
      <c r="B7" s="115" t="str">
        <f>Aerolinea_Muestreo!$B$4</f>
        <v>Latam Airlines</v>
      </c>
      <c r="C7" s="147">
        <f ca="1">Empleado_Muestreo!F7</f>
        <v>9772141874</v>
      </c>
      <c r="D7" s="145">
        <v>4472025</v>
      </c>
      <c r="E7" s="146">
        <v>43783</v>
      </c>
      <c r="F7" s="146">
        <v>46705</v>
      </c>
      <c r="G7" s="146" t="s">
        <v>8</v>
      </c>
      <c r="H7" s="116" t="str">
        <f t="shared" ca="1" si="0"/>
        <v>Latam Airlines-9772141874</v>
      </c>
      <c r="I7" s="116" t="str">
        <f t="shared" ca="1" si="1"/>
        <v>Latam Airlines-9772141874</v>
      </c>
    </row>
    <row r="8" spans="1:9">
      <c r="A8" s="117" t="s">
        <v>455</v>
      </c>
      <c r="B8" s="115" t="str">
        <f>Aerolinea_Muestreo!$B$4</f>
        <v>Latam Airlines</v>
      </c>
      <c r="C8" s="147">
        <f ca="1">Empleado_Muestreo!F8</f>
        <v>4544544844</v>
      </c>
      <c r="D8" s="145">
        <v>4472026</v>
      </c>
      <c r="E8" s="146">
        <v>43784</v>
      </c>
      <c r="F8" s="146">
        <v>46706</v>
      </c>
      <c r="G8" s="146" t="s">
        <v>8</v>
      </c>
      <c r="H8" s="116" t="str">
        <f t="shared" ca="1" si="0"/>
        <v>Latam Airlines-4544544844</v>
      </c>
      <c r="I8" s="116" t="str">
        <f t="shared" ca="1" si="1"/>
        <v>Latam Airlines-4544544844</v>
      </c>
    </row>
    <row r="9" spans="1:9">
      <c r="A9" s="117" t="s">
        <v>459</v>
      </c>
      <c r="B9" s="115" t="str">
        <f>Aerolinea_Muestreo!$B$4</f>
        <v>Latam Airlines</v>
      </c>
      <c r="C9" s="147">
        <f ca="1">Empleado_Muestreo!F9</f>
        <v>7126526524</v>
      </c>
      <c r="D9" s="145">
        <v>4472027</v>
      </c>
      <c r="E9" s="146">
        <v>43785</v>
      </c>
      <c r="F9" s="146">
        <v>46707</v>
      </c>
      <c r="G9" s="146" t="s">
        <v>8</v>
      </c>
      <c r="H9" s="116" t="str">
        <f t="shared" ca="1" si="0"/>
        <v>Latam Airlines-7126526524</v>
      </c>
      <c r="I9" s="116" t="str">
        <f t="shared" ca="1" si="1"/>
        <v>Latam Airlines-7126526524</v>
      </c>
    </row>
    <row r="10" spans="1:9">
      <c r="A10" s="117" t="s">
        <v>463</v>
      </c>
      <c r="B10" s="115" t="str">
        <f>Aerolinea_Muestreo!$B$4</f>
        <v>Latam Airlines</v>
      </c>
      <c r="C10" s="147">
        <f ca="1">Empleado_Muestreo!F10</f>
        <v>5252366987</v>
      </c>
      <c r="D10" s="145">
        <v>4472028</v>
      </c>
      <c r="E10" s="146">
        <v>43786</v>
      </c>
      <c r="F10" s="146">
        <v>46708</v>
      </c>
      <c r="G10" s="146" t="s">
        <v>8</v>
      </c>
      <c r="H10" s="116" t="str">
        <f t="shared" ca="1" si="0"/>
        <v>Latam Airlines-5252366987</v>
      </c>
      <c r="I10" s="116" t="str">
        <f t="shared" ca="1" si="1"/>
        <v>Latam Airlines-5252366987</v>
      </c>
    </row>
    <row r="11" spans="1:9">
      <c r="A11" s="117" t="s">
        <v>467</v>
      </c>
      <c r="B11" s="115" t="str">
        <f>Aerolinea_Muestreo!$B$4</f>
        <v>Latam Airlines</v>
      </c>
      <c r="C11" s="147">
        <f ca="1">Empleado_Muestreo!F11</f>
        <v>9463256223</v>
      </c>
      <c r="D11" s="145">
        <v>4472029</v>
      </c>
      <c r="E11" s="146">
        <v>43787</v>
      </c>
      <c r="F11" s="146">
        <v>46709</v>
      </c>
      <c r="G11" s="146" t="s">
        <v>8</v>
      </c>
      <c r="H11" s="116" t="str">
        <f t="shared" ca="1" si="0"/>
        <v>Latam Airlines-9463256223</v>
      </c>
      <c r="I11" s="116" t="str">
        <f t="shared" ca="1" si="1"/>
        <v>Latam Airlines-9463256223</v>
      </c>
    </row>
    <row r="12" spans="1:9">
      <c r="A12" s="117" t="s">
        <v>471</v>
      </c>
      <c r="B12" s="115" t="str">
        <f>Aerolinea_Muestreo!$B$4</f>
        <v>Latam Airlines</v>
      </c>
      <c r="C12" s="147">
        <f ca="1">Empleado_Muestreo!F12</f>
        <v>1040278781</v>
      </c>
      <c r="D12" s="145">
        <v>4472030</v>
      </c>
      <c r="E12" s="146">
        <v>43788</v>
      </c>
      <c r="F12" s="146">
        <v>46710</v>
      </c>
      <c r="G12" s="146" t="s">
        <v>8</v>
      </c>
      <c r="H12" s="116" t="str">
        <f t="shared" ca="1" si="0"/>
        <v>Latam Airlines-1040278781</v>
      </c>
      <c r="I12" s="116" t="str">
        <f t="shared" ca="1" si="1"/>
        <v>Latam Airlines-1040278781</v>
      </c>
    </row>
    <row r="13" spans="1:9">
      <c r="A13" s="117" t="s">
        <v>475</v>
      </c>
      <c r="B13" s="115" t="str">
        <f>Aerolinea_Muestreo!$B$4</f>
        <v>Latam Airlines</v>
      </c>
      <c r="C13" s="147">
        <f ca="1">Empleado_Muestreo!F13</f>
        <v>6728980096</v>
      </c>
      <c r="D13" s="145">
        <v>4472032</v>
      </c>
      <c r="E13" s="146">
        <v>43789</v>
      </c>
      <c r="F13" s="146">
        <v>46711</v>
      </c>
      <c r="G13" s="146" t="s">
        <v>8</v>
      </c>
      <c r="H13" s="116" t="str">
        <f t="shared" ca="1" si="0"/>
        <v>Latam Airlines-6728980096</v>
      </c>
      <c r="I13" s="116" t="str">
        <f t="shared" ca="1" si="1"/>
        <v>Latam Airlines-6728980096</v>
      </c>
    </row>
    <row r="14" spans="1:9">
      <c r="A14" s="117" t="s">
        <v>479</v>
      </c>
      <c r="B14" s="115" t="str">
        <f>Aerolinea_Muestreo!$B$4</f>
        <v>Latam Airlines</v>
      </c>
      <c r="C14" s="147">
        <f ca="1">Empleado_Muestreo!F14</f>
        <v>9294573253</v>
      </c>
      <c r="D14" s="145">
        <v>4472033</v>
      </c>
      <c r="E14" s="146">
        <v>43790</v>
      </c>
      <c r="F14" s="146">
        <v>46712</v>
      </c>
      <c r="G14" s="146" t="s">
        <v>8</v>
      </c>
      <c r="H14" s="116" t="str">
        <f t="shared" ca="1" si="0"/>
        <v>Latam Airlines-9294573253</v>
      </c>
      <c r="I14" s="116" t="str">
        <f t="shared" ca="1" si="1"/>
        <v>Latam Airlines-9294573253</v>
      </c>
    </row>
    <row r="15" spans="1:9">
      <c r="A15" s="117" t="s">
        <v>483</v>
      </c>
      <c r="B15" s="115" t="str">
        <f>Aerolinea_Muestreo!$B$4</f>
        <v>Latam Airlines</v>
      </c>
      <c r="C15" s="147">
        <f ca="1">Empleado_Muestreo!F15</f>
        <v>7211967413</v>
      </c>
      <c r="D15" s="145">
        <v>4472034</v>
      </c>
      <c r="E15" s="146">
        <v>43791</v>
      </c>
      <c r="F15" s="146">
        <v>46713</v>
      </c>
      <c r="G15" s="146" t="s">
        <v>8</v>
      </c>
      <c r="H15" s="116" t="str">
        <f t="shared" ca="1" si="0"/>
        <v>Latam Airlines-7211967413</v>
      </c>
      <c r="I15" s="116" t="str">
        <f t="shared" ca="1" si="1"/>
        <v>Latam Airlines-7211967413</v>
      </c>
    </row>
    <row r="16" spans="1:9">
      <c r="A16" s="117" t="s">
        <v>487</v>
      </c>
      <c r="B16" s="115" t="str">
        <f>Aerolinea_Muestreo!$B$4</f>
        <v>Latam Airlines</v>
      </c>
      <c r="C16" s="147">
        <f ca="1">Empleado_Muestreo!F16</f>
        <v>3987574031</v>
      </c>
      <c r="D16" s="145">
        <v>4472035</v>
      </c>
      <c r="E16" s="146">
        <v>43792</v>
      </c>
      <c r="F16" s="146">
        <v>46714</v>
      </c>
      <c r="G16" s="146" t="s">
        <v>8</v>
      </c>
      <c r="H16" s="116" t="str">
        <f t="shared" ca="1" si="0"/>
        <v>Latam Airlines-3987574031</v>
      </c>
      <c r="I16" s="116" t="str">
        <f t="shared" ca="1" si="1"/>
        <v>Latam Airlines-3987574031</v>
      </c>
    </row>
    <row r="17" spans="1:9">
      <c r="A17" s="117" t="s">
        <v>491</v>
      </c>
      <c r="B17" s="115" t="str">
        <f>Aerolinea_Muestreo!$B$4</f>
        <v>Latam Airlines</v>
      </c>
      <c r="C17" s="147">
        <f ca="1">Empleado_Muestreo!F17</f>
        <v>3288286437</v>
      </c>
      <c r="D17" s="145">
        <v>4472036</v>
      </c>
      <c r="E17" s="146">
        <v>43793</v>
      </c>
      <c r="F17" s="146">
        <v>46715</v>
      </c>
      <c r="G17" s="146" t="s">
        <v>8</v>
      </c>
      <c r="H17" s="116" t="str">
        <f t="shared" ca="1" si="0"/>
        <v>Latam Airlines-3288286437</v>
      </c>
      <c r="I17" s="116" t="str">
        <f t="shared" ca="1" si="1"/>
        <v>Latam Airlines-3288286437</v>
      </c>
    </row>
    <row r="18" spans="1:9">
      <c r="A18" s="117" t="s">
        <v>495</v>
      </c>
      <c r="B18" s="115" t="str">
        <f>Aerolinea_Muestreo!$B$4</f>
        <v>Latam Airlines</v>
      </c>
      <c r="C18" s="147">
        <f ca="1">Empleado_Muestreo!F18</f>
        <v>7916739532</v>
      </c>
      <c r="D18" s="145">
        <v>4472037</v>
      </c>
      <c r="E18" s="146">
        <v>43794</v>
      </c>
      <c r="F18" s="146">
        <v>46716</v>
      </c>
      <c r="G18" s="146" t="s">
        <v>8</v>
      </c>
      <c r="H18" s="116" t="str">
        <f t="shared" ca="1" si="0"/>
        <v>Latam Airlines-7916739532</v>
      </c>
      <c r="I18" s="116" t="str">
        <f t="shared" ca="1" si="1"/>
        <v>Latam Airlines-7916739532</v>
      </c>
    </row>
    <row r="19" spans="1:9">
      <c r="A19" s="117" t="s">
        <v>499</v>
      </c>
      <c r="B19" s="115" t="str">
        <f>Aerolinea_Muestreo!$B$4</f>
        <v>Latam Airlines</v>
      </c>
      <c r="C19" s="147">
        <f ca="1">Empleado_Muestreo!F19</f>
        <v>1603491052</v>
      </c>
      <c r="D19" s="145">
        <v>4472038</v>
      </c>
      <c r="E19" s="146">
        <v>43795</v>
      </c>
      <c r="F19" s="146">
        <v>46717</v>
      </c>
      <c r="G19" s="146" t="s">
        <v>8</v>
      </c>
      <c r="H19" s="116" t="str">
        <f t="shared" ca="1" si="0"/>
        <v>Latam Airlines-1603491052</v>
      </c>
      <c r="I19" s="116" t="str">
        <f t="shared" ca="1" si="1"/>
        <v>Latam Airlines-1603491052</v>
      </c>
    </row>
    <row r="20" spans="1:9">
      <c r="A20" s="117" t="s">
        <v>503</v>
      </c>
      <c r="B20" s="115" t="str">
        <f>Aerolinea_Muestreo!$B$4</f>
        <v>Latam Airlines</v>
      </c>
      <c r="C20" s="147">
        <f ca="1">Empleado_Muestreo!F20</f>
        <v>5009865044</v>
      </c>
      <c r="D20" s="145">
        <v>4472039</v>
      </c>
      <c r="E20" s="146">
        <v>43796</v>
      </c>
      <c r="F20" s="146">
        <v>46718</v>
      </c>
      <c r="G20" s="146" t="s">
        <v>8</v>
      </c>
      <c r="H20" s="116" t="str">
        <f t="shared" ca="1" si="0"/>
        <v>Latam Airlines-5009865044</v>
      </c>
      <c r="I20" s="116" t="str">
        <f t="shared" ca="1" si="1"/>
        <v>Latam Airlines-5009865044</v>
      </c>
    </row>
    <row r="21" spans="1:9">
      <c r="A21" s="117" t="s">
        <v>507</v>
      </c>
      <c r="B21" s="115" t="str">
        <f>Aerolinea_Muestreo!$B$4</f>
        <v>Latam Airlines</v>
      </c>
      <c r="C21" s="147">
        <f ca="1">Empleado_Muestreo!F21</f>
        <v>8371499181</v>
      </c>
      <c r="D21" s="145">
        <v>4472040</v>
      </c>
      <c r="E21" s="146">
        <v>43797</v>
      </c>
      <c r="F21" s="146">
        <v>46719</v>
      </c>
      <c r="G21" s="146" t="s">
        <v>8</v>
      </c>
      <c r="H21" s="116" t="str">
        <f t="shared" ca="1" si="0"/>
        <v>Latam Airlines-8371499181</v>
      </c>
      <c r="I21" s="116" t="str">
        <f t="shared" ca="1" si="1"/>
        <v>Latam Airlines-8371499181</v>
      </c>
    </row>
    <row r="22" spans="1:9">
      <c r="A22" s="117" t="s">
        <v>511</v>
      </c>
      <c r="B22" s="115" t="str">
        <f>Aerolinea_Muestreo!$B$4</f>
        <v>Latam Airlines</v>
      </c>
      <c r="C22" s="147">
        <f ca="1">Empleado_Muestreo!F22</f>
        <v>4921763000</v>
      </c>
      <c r="D22" s="145">
        <v>4472041</v>
      </c>
      <c r="E22" s="146">
        <v>43798</v>
      </c>
      <c r="F22" s="146">
        <v>46720</v>
      </c>
      <c r="G22" s="146" t="s">
        <v>8</v>
      </c>
      <c r="H22" s="116" t="str">
        <f t="shared" ca="1" si="0"/>
        <v>Latam Airlines-4921763000</v>
      </c>
      <c r="I22" s="116" t="str">
        <f t="shared" ca="1" si="1"/>
        <v>Latam Airlines-4921763000</v>
      </c>
    </row>
    <row r="23" spans="1:9">
      <c r="A23" s="117" t="s">
        <v>515</v>
      </c>
      <c r="B23" s="115" t="str">
        <f>Aerolinea_Muestreo!$B$4</f>
        <v>Latam Airlines</v>
      </c>
      <c r="C23" s="147">
        <f>Empleado_Muestreo!F23</f>
        <v>1036952691</v>
      </c>
      <c r="D23" s="145">
        <v>4472022</v>
      </c>
      <c r="E23" s="146">
        <v>43799</v>
      </c>
      <c r="F23" s="146">
        <v>46721</v>
      </c>
      <c r="G23" s="146" t="s">
        <v>8</v>
      </c>
      <c r="H23" s="116" t="str">
        <f t="shared" si="0"/>
        <v>Latam Airlines-1036952691</v>
      </c>
      <c r="I23" s="116" t="str">
        <f t="shared" si="1"/>
        <v>Latam Airlines-1036952691</v>
      </c>
    </row>
    <row r="26" spans="1:9">
      <c r="G26" s="4" t="s">
        <v>575</v>
      </c>
    </row>
  </sheetData>
  <hyperlinks>
    <hyperlink ref="C1" location="EmpleadoAerolinea_Caracterizac!A1" display="Caracterización objeto &gt;&gt;" xr:uid="{BC4E5CDC-7A2D-4C81-A45B-F953345393B2}"/>
    <hyperlink ref="A1" location="'Modelo Dominio Anémico'!A1" display="&lt;&lt; Modelo de dominio &gt;&gt;" xr:uid="{8FFCB269-F2A0-4CDE-BB24-8F5AFF80EC47}"/>
    <hyperlink ref="B1" location="'Objetos Dominio'!A1" display="&lt;&lt; Objetos de dominio" xr:uid="{781FF314-88C0-4F83-A78F-B662BAED4713}"/>
    <hyperlink ref="B4" location="Aerolinea_Muestreo!A4" display="Aerolinea_Muestreo!A4" xr:uid="{80E12BC4-3925-44CE-BC7E-A11968EE48AE}"/>
    <hyperlink ref="B5" location="Aerolinea_Muestreo!A5" display="Aerolinea_Muestreo!A5" xr:uid="{6B77275B-9EB0-48C2-BBA2-7742DA707A2B}"/>
    <hyperlink ref="B6" location="Aerolinea_Muestreo!A4" display="Aerolinea_Muestreo!A4" xr:uid="{94B2F51F-D9EE-482F-8187-4193BDCB42F5}"/>
    <hyperlink ref="B3" location="Aerolinea_Muestreo!A1" display="Aerolinea" xr:uid="{BF84966E-FB09-463C-8FEA-F6BDA281D86E}"/>
    <hyperlink ref="C3" location="Empleado_Muestreo!A1" display="Empleado" xr:uid="{2D3A31A5-CC5D-434A-BCF1-60DF767E0031}"/>
    <hyperlink ref="C4" location="Empleado_Muestreo!A4" display="Empleado_Muestreo!A4" xr:uid="{E13FEDF5-3D0A-453D-AED5-44C3777B87CF}"/>
    <hyperlink ref="B7:B23" location="Aerolinea_Muestreo!A4" display="Aerolinea_Muestreo!A4" xr:uid="{0A799E6C-1734-4E64-8498-F70A3FF381DF}"/>
    <hyperlink ref="C5:C23" location="Empleado_Muestreo!A4" display="Empleado_Muestreo!A4" xr:uid="{8B0CAEB2-CCFB-49D8-AE59-3CDE85A850A5}"/>
    <hyperlink ref="C12" location="Empleado_Muestreo!A12" display="Empleado_Muestreo!A12" xr:uid="{DD894F3B-2F3C-462F-81CB-055DBBEA1FD4}"/>
    <hyperlink ref="C13" location="Empleado_Muestreo!A13" display="Empleado_Muestreo!A13" xr:uid="{D29964CD-6E20-41E6-938C-1A41096EAA85}"/>
    <hyperlink ref="C5" location="Empleado_Muestreo!A5" display="Empleado_Muestreo!A5" xr:uid="{CEB75170-826A-430B-A152-290324F47FE1}"/>
    <hyperlink ref="C6" location="Empleado_Muestreo!A6" display="Empleado_Muestreo!A6" xr:uid="{79EA35D0-81DA-4FFB-A2CE-D3FF816EE1D8}"/>
    <hyperlink ref="C7" location="Empleado_Muestreo!A7" display="Empleado_Muestreo!A7" xr:uid="{3FF07C45-C712-4707-B66E-CCF2890F189F}"/>
    <hyperlink ref="C8" location="Empleado_Muestreo!A8" display="Empleado_Muestreo!A8" xr:uid="{DA206B06-393C-4549-8C7D-E1D2B33D995D}"/>
    <hyperlink ref="C9" location="Empleado_Muestreo!A9" display="Empleado_Muestreo!A9" xr:uid="{E0EC7203-FA86-491A-B9D8-B092C3540B6E}"/>
    <hyperlink ref="C10" location="Empleado_Muestreo!A10" display="Empleado_Muestreo!A10" xr:uid="{C32AEA61-4BE5-43CA-9007-934E23995EB4}"/>
    <hyperlink ref="C11" location="Empleado_Muestreo!A11" display="Empleado_Muestreo!A11" xr:uid="{8029F6CC-6EEE-4633-B013-E94A71DEA7D7}"/>
    <hyperlink ref="C14" location="Empleado_Muestreo!A14" display="Empleado_Muestreo!A14" xr:uid="{BFF74AFB-1F7D-4ED8-BF8A-E66B36609068}"/>
    <hyperlink ref="C15" location="Empleado_Muestreo!A15" display="Empleado_Muestreo!A15" xr:uid="{F06ACBFB-6191-4695-A486-3E00E0774E0F}"/>
    <hyperlink ref="C16" location="Empleado_Muestreo!A16" display="Empleado_Muestreo!A16" xr:uid="{FBD00C56-93FC-4E28-A6FD-4762CA76233C}"/>
    <hyperlink ref="C17" location="Empleado_Muestreo!A17" display="Empleado_Muestreo!A17" xr:uid="{E1104659-019E-41FF-84EC-7181B96B14CC}"/>
    <hyperlink ref="C18" location="Empleado_Muestreo!A18" display="Empleado_Muestreo!A18" xr:uid="{AB06A0D7-5652-4FE1-9EC0-216511CA41FA}"/>
    <hyperlink ref="C19" location="Empleado_Muestreo!A19" display="Empleado_Muestreo!A19" xr:uid="{4BCFEDE6-6DD3-49E5-B9D2-F4BB70D5913F}"/>
    <hyperlink ref="C20" location="Empleado_Muestreo!A20" display="Empleado_Muestreo!A20" xr:uid="{D092216D-F8D6-485B-A6DE-E7D19295E24B}"/>
    <hyperlink ref="C21" location="Empleado_Muestreo!A21" display="Empleado_Muestreo!A21" xr:uid="{6FBF0472-D874-40AF-B72A-C43DBC95171A}"/>
    <hyperlink ref="C22" location="Empleado_Muestreo!A22" display="Empleado_Muestreo!A22" xr:uid="{CD783608-5176-4143-A193-231DF165293B}"/>
    <hyperlink ref="C23" location="Empleado_Muestreo!A23" display="Empleado_Muestreo!A23" xr:uid="{C825335C-0998-4F19-BDB1-9DD48E3AC2CA}"/>
  </hyperlink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3315F-3D0B-4459-991F-E7D09319FE9D}">
  <sheetPr codeName="Hoja8">
    <tabColor rgb="FF0070C0"/>
  </sheetPr>
  <dimension ref="A1:V31"/>
  <sheetViews>
    <sheetView workbookViewId="0">
      <selection activeCell="J25" sqref="J25"/>
    </sheetView>
  </sheetViews>
  <sheetFormatPr defaultColWidth="10.85546875" defaultRowHeight="14.45"/>
  <cols>
    <col min="1" max="4" width="38.5703125" style="4" customWidth="1"/>
    <col min="5" max="5" width="22.42578125" style="4" customWidth="1"/>
    <col min="6" max="6" width="20.140625" style="4" bestFit="1" customWidth="1"/>
    <col min="7" max="7" width="22.85546875" style="4" customWidth="1"/>
    <col min="8" max="8" width="32.42578125" style="4" bestFit="1" customWidth="1"/>
    <col min="9" max="9" width="36.5703125" style="4" bestFit="1" customWidth="1"/>
    <col min="10" max="10" width="40.5703125" style="4" customWidth="1"/>
    <col min="11" max="11" width="33.42578125" style="4" customWidth="1"/>
    <col min="12" max="12" width="11.42578125" style="4" bestFit="1"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70.85546875" style="4" customWidth="1"/>
    <col min="23" max="16384" width="10.85546875" style="4"/>
  </cols>
  <sheetData>
    <row r="1" spans="1:22" customFormat="1">
      <c r="A1" s="58" t="s">
        <v>46</v>
      </c>
      <c r="B1" s="69" t="s">
        <v>74</v>
      </c>
      <c r="C1" s="69" t="s">
        <v>75</v>
      </c>
    </row>
    <row r="2" spans="1:22" s="60" customFormat="1">
      <c r="A2" s="59" t="str">
        <f>'Objetos Dominio'!$A$2</f>
        <v>Nombre</v>
      </c>
      <c r="B2" s="730" t="str">
        <f>'Objetos Dominio'!$A$11</f>
        <v>Fabricante</v>
      </c>
      <c r="C2" s="730"/>
      <c r="D2" s="730"/>
      <c r="E2" s="730"/>
      <c r="F2" s="730"/>
      <c r="G2" s="730"/>
      <c r="H2" s="730"/>
      <c r="I2" s="730"/>
      <c r="J2" s="730"/>
      <c r="K2" s="730"/>
      <c r="L2" s="730"/>
      <c r="M2" s="730"/>
      <c r="N2" s="730"/>
      <c r="O2" s="730"/>
      <c r="P2" s="730"/>
      <c r="Q2" s="730"/>
      <c r="R2" s="730"/>
      <c r="S2" s="730"/>
      <c r="T2" s="730"/>
      <c r="U2" s="730"/>
    </row>
    <row r="3" spans="1:22" s="60" customFormat="1" ht="14.1" customHeight="1">
      <c r="A3" s="59" t="str">
        <f>'Objetos Dominio'!$B$2</f>
        <v>Tipo</v>
      </c>
      <c r="B3" s="731" t="str">
        <f>'Objetos Dominio'!$B$11</f>
        <v>Propio</v>
      </c>
      <c r="C3" s="731"/>
      <c r="D3" s="731"/>
      <c r="E3" s="731"/>
      <c r="F3" s="731"/>
      <c r="G3" s="731"/>
      <c r="H3" s="731"/>
      <c r="I3" s="731"/>
      <c r="J3" s="731"/>
      <c r="K3" s="731"/>
      <c r="L3" s="731"/>
      <c r="M3" s="731"/>
      <c r="N3" s="731"/>
      <c r="O3" s="731"/>
      <c r="P3" s="731"/>
      <c r="Q3" s="731"/>
      <c r="R3" s="731"/>
      <c r="S3" s="731"/>
      <c r="T3" s="731"/>
      <c r="U3" s="731"/>
    </row>
    <row r="4" spans="1:22" s="60" customFormat="1" ht="14.1" customHeight="1">
      <c r="A4" s="59" t="str">
        <f>'Objetos Dominio'!$C$2</f>
        <v>Contexto Origen</v>
      </c>
      <c r="B4" s="731" t="str">
        <f>'Objetos Dominio'!$C$11</f>
        <v>Flight Hours</v>
      </c>
      <c r="C4" s="731"/>
      <c r="D4" s="731"/>
      <c r="E4" s="731"/>
      <c r="F4" s="731"/>
      <c r="G4" s="731"/>
      <c r="H4" s="731"/>
      <c r="I4" s="731"/>
      <c r="J4" s="731"/>
      <c r="K4" s="731"/>
      <c r="L4" s="731"/>
      <c r="M4" s="731"/>
      <c r="N4" s="731"/>
      <c r="O4" s="731"/>
      <c r="P4" s="731"/>
      <c r="Q4" s="731"/>
      <c r="R4" s="731"/>
      <c r="S4" s="731"/>
      <c r="T4" s="731"/>
      <c r="U4" s="731"/>
    </row>
    <row r="5" spans="1:22" s="60" customFormat="1" ht="14.1" customHeight="1">
      <c r="A5" s="59" t="str">
        <f>'Objetos Dominio'!$D$2</f>
        <v>Descripción</v>
      </c>
      <c r="B5" s="731" t="str">
        <f>'Objetos Dominio'!$D$11</f>
        <v>Objeto de dominio que representa al fabricante del avión</v>
      </c>
      <c r="C5" s="731"/>
      <c r="D5" s="731"/>
      <c r="E5" s="731"/>
      <c r="F5" s="731"/>
      <c r="G5" s="731"/>
      <c r="H5" s="731"/>
      <c r="I5" s="731"/>
      <c r="J5" s="731"/>
      <c r="K5" s="731"/>
      <c r="L5" s="731"/>
      <c r="M5" s="731"/>
      <c r="N5" s="731"/>
      <c r="O5" s="731"/>
      <c r="P5" s="731"/>
      <c r="Q5" s="731"/>
      <c r="R5" s="731"/>
      <c r="S5" s="731"/>
      <c r="T5" s="731"/>
      <c r="U5" s="731"/>
    </row>
    <row r="6" spans="1:22" s="60" customFormat="1" ht="15">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605" t="str">
        <f>A22</f>
        <v>Consultar fabricante</v>
      </c>
    </row>
    <row r="7" spans="1:22" s="60" customFormat="1" ht="53.45" customHeight="1">
      <c r="A7" s="82" t="str">
        <f>Fabricante_Muestreo!$A$3</f>
        <v>Id</v>
      </c>
      <c r="B7" s="64" t="s">
        <v>17</v>
      </c>
      <c r="C7" s="64">
        <v>36</v>
      </c>
      <c r="D7" s="64">
        <v>36</v>
      </c>
      <c r="E7" s="64"/>
      <c r="F7" s="64"/>
      <c r="G7" s="64"/>
      <c r="H7" s="64"/>
      <c r="I7" s="64"/>
      <c r="J7" s="67" t="s">
        <v>252</v>
      </c>
      <c r="K7" s="64"/>
      <c r="L7" s="65"/>
      <c r="M7" s="66" t="s">
        <v>9</v>
      </c>
      <c r="N7" s="66" t="s">
        <v>9</v>
      </c>
      <c r="O7" s="66" t="s">
        <v>9</v>
      </c>
      <c r="P7" s="66" t="s">
        <v>14</v>
      </c>
      <c r="Q7" s="66" t="s">
        <v>9</v>
      </c>
      <c r="R7" s="66" t="s">
        <v>14</v>
      </c>
      <c r="S7" s="66" t="s">
        <v>14</v>
      </c>
      <c r="T7" s="66" t="s">
        <v>9</v>
      </c>
      <c r="U7" s="93" t="str">
        <f>Fabricante_Muestreo!$A$2</f>
        <v>Corresponde a un identificador único de la cuenta dentro del objeto de dominio Fabricante.</v>
      </c>
      <c r="V7" s="584" t="s">
        <v>97</v>
      </c>
    </row>
    <row r="8" spans="1:22" s="60" customFormat="1" ht="45" customHeight="1">
      <c r="A8" s="82" t="str">
        <f>Fabricante_Muestreo!$B$3</f>
        <v>Nombre</v>
      </c>
      <c r="B8" s="64" t="s">
        <v>17</v>
      </c>
      <c r="C8" s="64">
        <v>6</v>
      </c>
      <c r="D8" s="64">
        <v>6</v>
      </c>
      <c r="E8" s="64"/>
      <c r="F8" s="64"/>
      <c r="G8" s="64"/>
      <c r="H8" s="64"/>
      <c r="I8" s="64"/>
      <c r="J8" s="67" t="s">
        <v>99</v>
      </c>
      <c r="K8" s="64"/>
      <c r="L8" s="65"/>
      <c r="M8" s="66" t="s">
        <v>9</v>
      </c>
      <c r="N8" s="66" t="s">
        <v>9</v>
      </c>
      <c r="O8" s="66" t="s">
        <v>14</v>
      </c>
      <c r="P8" s="66" t="s">
        <v>14</v>
      </c>
      <c r="Q8" s="66" t="s">
        <v>9</v>
      </c>
      <c r="R8" s="66" t="s">
        <v>9</v>
      </c>
      <c r="S8" s="66" t="s">
        <v>14</v>
      </c>
      <c r="T8" s="66" t="s">
        <v>14</v>
      </c>
      <c r="U8" s="93" t="str">
        <f>Fabricante_Muestreo!$B$2</f>
        <v xml:space="preserve">Corresponde al nombre del fabricante </v>
      </c>
      <c r="V8" s="584" t="s">
        <v>164</v>
      </c>
    </row>
    <row r="9" spans="1:22" s="60" customFormat="1" ht="45" customHeight="1"/>
    <row r="10" spans="1:22" s="60" customFormat="1" ht="45" customHeight="1"/>
    <row r="11" spans="1:22" s="3" customFormat="1" ht="15" thickBot="1"/>
    <row r="12" spans="1:22" s="60" customFormat="1">
      <c r="A12" s="733" t="s">
        <v>106</v>
      </c>
      <c r="B12" s="734"/>
      <c r="C12" s="735"/>
    </row>
    <row r="13" spans="1:22" s="60" customFormat="1">
      <c r="A13" s="70" t="s">
        <v>107</v>
      </c>
      <c r="B13" s="71" t="s">
        <v>49</v>
      </c>
      <c r="C13" s="72" t="s">
        <v>108</v>
      </c>
    </row>
    <row r="14" spans="1:22" s="60" customFormat="1" ht="39" customHeight="1" thickBot="1">
      <c r="A14" s="73" t="s">
        <v>110</v>
      </c>
      <c r="B14" s="74" t="str">
        <f>Fabricante_Muestreo!$C$2</f>
        <v>El nombre del fabricante no puede repetirse.</v>
      </c>
      <c r="C14" s="75" t="str">
        <f>A8</f>
        <v>Nombre</v>
      </c>
    </row>
    <row r="15" spans="1:22" ht="15" thickBot="1"/>
    <row r="17" spans="1:11" ht="15"/>
    <row r="20" spans="1:11">
      <c r="A20" s="155" t="s">
        <v>111</v>
      </c>
      <c r="B20" s="156" t="s">
        <v>49</v>
      </c>
      <c r="C20" s="157"/>
      <c r="D20" s="158" t="s">
        <v>112</v>
      </c>
      <c r="E20" s="159"/>
      <c r="F20" s="157"/>
      <c r="G20" s="158" t="s">
        <v>113</v>
      </c>
      <c r="H20" s="726" t="s">
        <v>114</v>
      </c>
      <c r="I20" s="727"/>
      <c r="J20" s="728" t="s">
        <v>115</v>
      </c>
      <c r="K20" s="729"/>
    </row>
    <row r="21" spans="1:11" ht="15">
      <c r="A21" s="160"/>
      <c r="B21" s="161"/>
      <c r="C21" s="157" t="s">
        <v>116</v>
      </c>
      <c r="D21" s="170" t="s">
        <v>117</v>
      </c>
      <c r="E21" s="188" t="s">
        <v>49</v>
      </c>
      <c r="F21" s="166" t="s">
        <v>77</v>
      </c>
      <c r="G21" s="188" t="s">
        <v>49</v>
      </c>
      <c r="H21" s="166" t="s">
        <v>118</v>
      </c>
      <c r="I21" s="159" t="s">
        <v>49</v>
      </c>
      <c r="J21" s="189" t="s">
        <v>119</v>
      </c>
      <c r="K21" s="166" t="s">
        <v>120</v>
      </c>
    </row>
    <row r="22" spans="1:11" ht="103.5" customHeight="1">
      <c r="A22" s="681" t="s">
        <v>576</v>
      </c>
      <c r="B22" s="257" t="s">
        <v>577</v>
      </c>
      <c r="C22" s="180" t="s">
        <v>123</v>
      </c>
      <c r="D22" s="178" t="s">
        <v>36</v>
      </c>
      <c r="E22" s="212" t="s">
        <v>124</v>
      </c>
      <c r="F22" s="196" t="s">
        <v>578</v>
      </c>
      <c r="G22" s="204" t="s">
        <v>579</v>
      </c>
      <c r="H22" s="776" t="s">
        <v>580</v>
      </c>
      <c r="I22" s="796" t="s">
        <v>128</v>
      </c>
      <c r="J22" s="776" t="s">
        <v>129</v>
      </c>
      <c r="K22" s="776" t="s">
        <v>130</v>
      </c>
    </row>
    <row r="23" spans="1:11" ht="92.25" customHeight="1">
      <c r="A23" s="206"/>
      <c r="B23" s="194"/>
      <c r="C23" s="181"/>
      <c r="D23" s="179"/>
      <c r="E23" s="205"/>
      <c r="F23" s="199"/>
      <c r="G23" s="205"/>
      <c r="H23" s="777"/>
      <c r="I23" s="797"/>
      <c r="J23" s="777"/>
      <c r="K23" s="777"/>
    </row>
    <row r="24" spans="1:11" ht="15"/>
    <row r="25" spans="1:11" ht="15"/>
    <row r="26" spans="1:11" ht="15"/>
    <row r="27" spans="1:11" ht="15"/>
    <row r="28" spans="1:11" ht="15"/>
    <row r="29" spans="1:11" ht="15"/>
    <row r="30" spans="1:11" ht="15"/>
    <row r="31" spans="1:11" ht="15"/>
  </sheetData>
  <mergeCells count="11">
    <mergeCell ref="H22:H23"/>
    <mergeCell ref="I22:I23"/>
    <mergeCell ref="J22:J23"/>
    <mergeCell ref="K22:K23"/>
    <mergeCell ref="H20:I20"/>
    <mergeCell ref="J20:K20"/>
    <mergeCell ref="B2:U2"/>
    <mergeCell ref="B3:U3"/>
    <mergeCell ref="B4:U4"/>
    <mergeCell ref="B5:U5"/>
    <mergeCell ref="A12:C12"/>
  </mergeCells>
  <phoneticPr fontId="10" type="noConversion"/>
  <hyperlinks>
    <hyperlink ref="C1" location="Fabricante_Muestreo!A1" display="&lt;&lt; Muestreo Datos" xr:uid="{CFC62582-C0EF-43F5-8EA9-FA09EC7B9BDA}"/>
    <hyperlink ref="A1" location="'Modelo Dominio Anémico'!A1" display="&lt;&lt; Modelo de dominio &gt;&gt;" xr:uid="{84DE1A17-E500-4E83-B124-92DEBF02FFE1}"/>
    <hyperlink ref="B1" location="'Objetos Dominio'!A1" display="&lt;&lt; Objetos de dominio" xr:uid="{0554ED06-1EB9-4DDA-9F93-8EABDD1F4731}"/>
    <hyperlink ref="C14" location="Fabricante_Caracterización!A8" display="Fabricante_Caracterización!A8" xr:uid="{5EE64BBE-FE17-416B-8B61-37F80FC2958C}"/>
    <hyperlink ref="V6" location="Objeto Dominio 2!A16" display="Registrar Información  Horario Sede" xr:uid="{080348C5-8542-4F35-86A6-6282AD22BC96}"/>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763729E-FA51-4BB4-AB3F-EB8E6406314F}">
          <x14:formula1>
            <xm:f>Valores!$D$2:$D$3</xm:f>
          </x14:formula1>
          <xm:sqref>M7:T8</xm:sqref>
        </x14:dataValidation>
        <x14:dataValidation type="list" allowBlank="1" showInputMessage="1" showErrorMessage="1" xr:uid="{DE13A949-44A7-43E3-BF61-B821B1746B81}">
          <x14:formula1>
            <xm:f>Valores!$F$2:$F$4</xm:f>
          </x14:formula1>
          <xm:sqref>G7</xm:sqref>
        </x14:dataValidation>
        <x14:dataValidation type="list" allowBlank="1" showInputMessage="1" showErrorMessage="1" xr:uid="{C549A8BA-CFC6-4239-B0C6-F3998911286A}">
          <x14:formula1>
            <xm:f>Valores!$E$2:$E$23</xm:f>
          </x14:formula1>
          <xm:sqref>B7:B8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B99D-AF8C-44E5-AE31-E4D69E87EF1C}">
  <sheetPr codeName="Hoja7">
    <tabColor rgb="FF0070C0"/>
  </sheetPr>
  <dimension ref="A1:C170"/>
  <sheetViews>
    <sheetView workbookViewId="0">
      <pane ySplit="3" topLeftCell="A4" activePane="bottomLeft" state="frozen"/>
      <selection pane="bottomLeft" activeCell="A5" sqref="A5"/>
    </sheetView>
  </sheetViews>
  <sheetFormatPr defaultColWidth="10.85546875" defaultRowHeight="14.45"/>
  <cols>
    <col min="1" max="1" width="51.42578125" style="29" customWidth="1"/>
    <col min="2" max="2" width="27.140625" style="29" customWidth="1"/>
    <col min="3" max="3" width="33.85546875" style="4" customWidth="1"/>
    <col min="4" max="4" width="42.42578125" style="4" customWidth="1"/>
    <col min="5" max="5" width="24.140625" style="4" bestFit="1" customWidth="1"/>
    <col min="6" max="16384" width="10.85546875" style="4"/>
  </cols>
  <sheetData>
    <row r="1" spans="1:3" customFormat="1" ht="15" thickBot="1">
      <c r="A1" s="58" t="s">
        <v>46</v>
      </c>
      <c r="B1" s="69" t="s">
        <v>74</v>
      </c>
      <c r="C1" s="69" t="s">
        <v>145</v>
      </c>
    </row>
    <row r="2" spans="1:3" s="1" customFormat="1" ht="21.6" thickBot="1">
      <c r="A2" s="31" t="s">
        <v>581</v>
      </c>
      <c r="B2" s="32" t="s">
        <v>582</v>
      </c>
      <c r="C2" s="24" t="s">
        <v>583</v>
      </c>
    </row>
    <row r="3" spans="1:3" s="28" customFormat="1">
      <c r="A3" s="50" t="s">
        <v>133</v>
      </c>
      <c r="B3" s="51" t="s">
        <v>47</v>
      </c>
      <c r="C3" s="26" t="s">
        <v>380</v>
      </c>
    </row>
    <row r="4" spans="1:3">
      <c r="A4" s="45" t="s">
        <v>310</v>
      </c>
      <c r="B4" s="130" t="s">
        <v>584</v>
      </c>
      <c r="C4" s="30" t="str">
        <f>B4</f>
        <v>Airbus</v>
      </c>
    </row>
    <row r="5" spans="1:3">
      <c r="A5" s="45" t="s">
        <v>585</v>
      </c>
      <c r="B5" s="130" t="s">
        <v>586</v>
      </c>
      <c r="C5" s="30" t="str">
        <f>B5</f>
        <v>Boeing</v>
      </c>
    </row>
    <row r="6" spans="1:3">
      <c r="A6" s="4"/>
      <c r="B6" s="4"/>
    </row>
    <row r="7" spans="1:3">
      <c r="A7" s="4"/>
      <c r="B7" s="4"/>
    </row>
    <row r="8" spans="1:3">
      <c r="A8" s="4"/>
      <c r="B8" s="4"/>
    </row>
    <row r="9" spans="1:3">
      <c r="A9" s="4"/>
      <c r="B9" s="4"/>
    </row>
    <row r="10" spans="1:3">
      <c r="A10" s="4"/>
      <c r="B10" s="4"/>
    </row>
    <row r="11" spans="1:3">
      <c r="A11" s="4"/>
      <c r="B11" s="4"/>
    </row>
    <row r="12" spans="1:3">
      <c r="A12" s="4"/>
      <c r="B12" s="4"/>
    </row>
    <row r="13" spans="1:3">
      <c r="A13" s="4"/>
      <c r="B13" s="4"/>
    </row>
    <row r="14" spans="1:3">
      <c r="A14" s="4"/>
      <c r="B14" s="4"/>
    </row>
    <row r="15" spans="1:3">
      <c r="A15" s="4"/>
      <c r="B15" s="4"/>
    </row>
    <row r="16" spans="1:3">
      <c r="A16" s="4"/>
      <c r="B16" s="4"/>
    </row>
    <row r="17" s="4" customFormat="1"/>
    <row r="18" s="4" customFormat="1"/>
    <row r="19" s="4" customFormat="1"/>
    <row r="20" s="4" customFormat="1"/>
    <row r="21" s="4" customFormat="1"/>
    <row r="22" s="4" customFormat="1"/>
    <row r="23" s="4" customFormat="1"/>
    <row r="24" s="4" customFormat="1"/>
    <row r="25" s="4" customFormat="1"/>
    <row r="26" s="4" customFormat="1"/>
    <row r="27" s="4" customFormat="1"/>
    <row r="28" s="4" customFormat="1"/>
    <row r="29" s="4" customFormat="1"/>
    <row r="30" s="4" customFormat="1"/>
    <row r="31" s="4" customFormat="1"/>
    <row r="32" s="4" customFormat="1"/>
    <row r="33" s="4" customFormat="1"/>
    <row r="34" s="4" customFormat="1"/>
    <row r="35" s="4" customFormat="1"/>
    <row r="36" s="4" customFormat="1"/>
    <row r="37" s="4" customFormat="1"/>
    <row r="38" s="4" customFormat="1"/>
    <row r="39" s="4" customFormat="1"/>
    <row r="40" s="4" customFormat="1"/>
    <row r="41" s="4" customFormat="1"/>
    <row r="42" s="4" customFormat="1"/>
    <row r="43" s="4" customFormat="1"/>
    <row r="44" s="4" customFormat="1"/>
    <row r="45" s="4" customFormat="1"/>
    <row r="46" s="4" customFormat="1"/>
    <row r="47" s="4" customFormat="1"/>
    <row r="48" s="4" customFormat="1"/>
    <row r="49" s="4" customFormat="1"/>
    <row r="50" s="4" customFormat="1"/>
    <row r="51" s="4" customFormat="1"/>
    <row r="52" s="4" customFormat="1"/>
    <row r="53" s="4" customFormat="1"/>
    <row r="54" s="4" customFormat="1"/>
    <row r="55" s="4" customFormat="1"/>
    <row r="56" s="4" customFormat="1"/>
    <row r="57" s="4" customFormat="1"/>
    <row r="58" s="4" customFormat="1"/>
    <row r="59" s="4" customFormat="1"/>
    <row r="60" s="4" customFormat="1"/>
    <row r="61" s="4" customFormat="1"/>
    <row r="62" s="4" customFormat="1"/>
    <row r="63" s="4" customFormat="1"/>
    <row r="64" s="4" customFormat="1"/>
    <row r="65" s="4" customFormat="1"/>
    <row r="66" s="4" customFormat="1"/>
    <row r="67" s="4" customFormat="1"/>
    <row r="68" s="4" customFormat="1"/>
    <row r="69" s="4" customFormat="1"/>
    <row r="70" s="4" customFormat="1"/>
    <row r="71" s="4" customFormat="1"/>
    <row r="72" s="4" customFormat="1"/>
    <row r="73" s="4" customFormat="1"/>
    <row r="74" s="4" customFormat="1"/>
    <row r="75" s="4" customFormat="1"/>
    <row r="76" s="4" customFormat="1"/>
    <row r="77" s="4" customFormat="1"/>
    <row r="78" s="4" customFormat="1"/>
    <row r="79" s="4" customFormat="1"/>
    <row r="80" s="4" customFormat="1"/>
    <row r="81" s="4" customFormat="1"/>
    <row r="82" s="4" customFormat="1"/>
    <row r="83" s="4" customFormat="1"/>
    <row r="84" s="4" customFormat="1"/>
    <row r="85" s="4" customFormat="1"/>
    <row r="86" s="4" customFormat="1"/>
    <row r="87" s="4" customFormat="1"/>
    <row r="88" s="4" customFormat="1"/>
    <row r="89" s="4" customFormat="1"/>
    <row r="90" s="4" customFormat="1"/>
    <row r="91" s="4" customFormat="1"/>
    <row r="92" s="4" customFormat="1"/>
    <row r="93" s="4" customFormat="1"/>
    <row r="94" s="4" customFormat="1"/>
    <row r="95" s="4" customFormat="1"/>
    <row r="96" s="4" customFormat="1"/>
    <row r="97" s="4" customFormat="1"/>
    <row r="98" s="4" customFormat="1"/>
    <row r="99" s="4" customFormat="1"/>
    <row r="100" s="4" customFormat="1"/>
    <row r="101" s="4" customFormat="1"/>
    <row r="102" s="4" customFormat="1"/>
    <row r="103" s="4" customFormat="1"/>
    <row r="104" s="4" customFormat="1"/>
    <row r="105" s="4" customFormat="1"/>
    <row r="106" s="4" customFormat="1"/>
    <row r="107" s="4" customFormat="1"/>
    <row r="108" s="4" customFormat="1"/>
    <row r="109" s="4" customFormat="1"/>
    <row r="110" s="4" customFormat="1"/>
    <row r="111" s="4" customFormat="1"/>
    <row r="112" s="4" customFormat="1"/>
    <row r="113" s="4" customFormat="1"/>
    <row r="114" s="4" customFormat="1"/>
    <row r="115" s="4" customFormat="1"/>
    <row r="116" s="4" customFormat="1"/>
    <row r="117" s="4" customFormat="1"/>
    <row r="118" s="4" customFormat="1"/>
    <row r="119" s="4" customFormat="1"/>
    <row r="120" s="4" customFormat="1"/>
    <row r="121" s="4" customFormat="1"/>
    <row r="122" s="4" customFormat="1"/>
    <row r="123" s="4" customFormat="1"/>
    <row r="124" s="4" customFormat="1"/>
    <row r="125" s="4" customFormat="1"/>
    <row r="126" s="4" customFormat="1"/>
    <row r="127" s="4" customFormat="1"/>
    <row r="128" s="4" customFormat="1"/>
    <row r="129" s="4" customFormat="1"/>
    <row r="130" s="4" customFormat="1"/>
    <row r="131" s="4" customFormat="1"/>
    <row r="132" s="4" customFormat="1"/>
    <row r="133" s="4" customFormat="1"/>
    <row r="134" s="4" customFormat="1"/>
    <row r="135" s="4" customFormat="1"/>
    <row r="136" s="4" customFormat="1"/>
    <row r="137" s="4" customFormat="1"/>
    <row r="138" s="4" customFormat="1"/>
    <row r="139" s="4" customFormat="1"/>
    <row r="140" s="4" customFormat="1"/>
    <row r="141" s="4" customFormat="1"/>
    <row r="142" s="4" customFormat="1"/>
    <row r="143" s="4" customFormat="1"/>
    <row r="144" s="4" customFormat="1"/>
    <row r="145" s="4" customFormat="1"/>
    <row r="146" s="4" customFormat="1"/>
    <row r="147" s="4" customFormat="1"/>
    <row r="148" s="4" customFormat="1"/>
    <row r="149" s="4" customFormat="1"/>
    <row r="150" s="4" customFormat="1"/>
    <row r="151" s="4" customFormat="1"/>
    <row r="152" s="4" customFormat="1"/>
    <row r="153" s="4" customFormat="1"/>
    <row r="154" s="4" customFormat="1"/>
    <row r="155" s="4" customFormat="1"/>
    <row r="156" s="4" customFormat="1"/>
    <row r="157" s="4" customFormat="1"/>
    <row r="158" s="4" customFormat="1"/>
    <row r="159" s="4" customFormat="1"/>
    <row r="160" s="4" customFormat="1"/>
    <row r="161" s="4" customFormat="1"/>
    <row r="162" s="4" customFormat="1"/>
    <row r="163" s="4" customFormat="1"/>
    <row r="164" s="4" customFormat="1"/>
    <row r="165" s="4" customFormat="1"/>
    <row r="166" s="4" customFormat="1"/>
    <row r="167" s="4" customFormat="1"/>
    <row r="168" s="4" customFormat="1"/>
    <row r="169" s="4" customFormat="1"/>
    <row r="170" s="4" customFormat="1"/>
  </sheetData>
  <hyperlinks>
    <hyperlink ref="C1" location="Fabricante_Caracterización!A1" display="Caracterización objeto &gt;&gt;" xr:uid="{3240FD98-CA66-4523-AE31-14561007F295}"/>
    <hyperlink ref="A1" location="'Modelo Dominio Anémico'!A1" display="&lt;&lt; Modelo de dominio &gt;&gt;" xr:uid="{49205747-777D-4942-84D2-145C076595FE}"/>
    <hyperlink ref="B1" location="'Objetos Dominio'!A1" display="&lt;&lt; Objetos de dominio" xr:uid="{7EE4E5EB-75F0-4508-8F02-8168A998CEDB}"/>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8FFC-691C-4EC9-BF44-96BD8178E679}">
  <sheetPr codeName="Hoja15">
    <tabColor theme="5" tint="0.39997558519241921"/>
  </sheetPr>
  <dimension ref="A1:V32"/>
  <sheetViews>
    <sheetView zoomScale="83" workbookViewId="0">
      <selection activeCell="D8" sqref="D8"/>
    </sheetView>
  </sheetViews>
  <sheetFormatPr defaultColWidth="10.85546875" defaultRowHeight="14.45"/>
  <cols>
    <col min="1" max="1" width="41.42578125" style="4" bestFit="1" customWidth="1"/>
    <col min="2" max="2" width="43" style="4" customWidth="1"/>
    <col min="3" max="4" width="38.5703125" style="4" customWidth="1"/>
    <col min="5" max="5" width="26.42578125" style="4" customWidth="1"/>
    <col min="6" max="6" width="20.140625" style="4" bestFit="1" customWidth="1"/>
    <col min="7" max="7" width="18.42578125" style="4" customWidth="1"/>
    <col min="8" max="8" width="32.42578125" style="4" bestFit="1" customWidth="1"/>
    <col min="9" max="9" width="29.42578125" style="4" bestFit="1" customWidth="1"/>
    <col min="10" max="10" width="40.5703125" style="4" customWidth="1"/>
    <col min="11" max="11" width="33.42578125" style="4" customWidth="1"/>
    <col min="12" max="12" width="11.42578125" style="4" bestFit="1"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52.140625" style="4" customWidth="1"/>
    <col min="23" max="16384" width="10.85546875" style="4"/>
  </cols>
  <sheetData>
    <row r="1" spans="1:22" customFormat="1">
      <c r="A1" s="58" t="s">
        <v>587</v>
      </c>
      <c r="B1" s="69" t="s">
        <v>74</v>
      </c>
      <c r="C1" s="69" t="s">
        <v>75</v>
      </c>
    </row>
    <row r="2" spans="1:22" s="60" customFormat="1">
      <c r="A2" s="59" t="str">
        <f>'Objetos Dominio'!$A$2</f>
        <v>Nombre</v>
      </c>
      <c r="B2" s="730" t="str">
        <f>'Objetos Dominio'!$A$12</f>
        <v>Familia</v>
      </c>
      <c r="C2" s="730"/>
      <c r="D2" s="730"/>
      <c r="E2" s="730"/>
      <c r="F2" s="730"/>
      <c r="G2" s="730"/>
      <c r="H2" s="730"/>
      <c r="I2" s="730"/>
      <c r="J2" s="730"/>
      <c r="K2" s="730"/>
      <c r="L2" s="730"/>
      <c r="M2" s="730"/>
      <c r="N2" s="730"/>
      <c r="O2" s="730"/>
      <c r="P2" s="730"/>
      <c r="Q2" s="730"/>
      <c r="R2" s="730"/>
      <c r="S2" s="730"/>
      <c r="T2" s="730"/>
      <c r="U2" s="730"/>
    </row>
    <row r="3" spans="1:22" s="60" customFormat="1" ht="14.1" customHeight="1">
      <c r="A3" s="59" t="str">
        <f>'Objetos Dominio'!$B$2</f>
        <v>Tipo</v>
      </c>
      <c r="B3" s="731" t="str">
        <f>'Objetos Dominio'!$B$12</f>
        <v>Referenciado</v>
      </c>
      <c r="C3" s="731"/>
      <c r="D3" s="731"/>
      <c r="E3" s="731"/>
      <c r="F3" s="731"/>
      <c r="G3" s="731"/>
      <c r="H3" s="731"/>
      <c r="I3" s="731"/>
      <c r="J3" s="731"/>
      <c r="K3" s="731"/>
      <c r="L3" s="731"/>
      <c r="M3" s="731"/>
      <c r="N3" s="731"/>
      <c r="O3" s="731"/>
      <c r="P3" s="731"/>
      <c r="Q3" s="731"/>
      <c r="R3" s="731"/>
      <c r="S3" s="731"/>
      <c r="T3" s="731"/>
      <c r="U3" s="731"/>
    </row>
    <row r="4" spans="1:22" s="60" customFormat="1" ht="14.1" customHeight="1">
      <c r="A4" s="59" t="str">
        <f>'Objetos Dominio'!$C$2</f>
        <v>Contexto Origen</v>
      </c>
      <c r="B4" s="731">
        <f>'Objetos Dominio'!$C$12</f>
        <v>0</v>
      </c>
      <c r="C4" s="731"/>
      <c r="D4" s="731"/>
      <c r="E4" s="731"/>
      <c r="F4" s="731"/>
      <c r="G4" s="731"/>
      <c r="H4" s="731"/>
      <c r="I4" s="731"/>
      <c r="J4" s="731"/>
      <c r="K4" s="731"/>
      <c r="L4" s="731"/>
      <c r="M4" s="731"/>
      <c r="N4" s="731"/>
      <c r="O4" s="731"/>
      <c r="P4" s="731"/>
      <c r="Q4" s="731"/>
      <c r="R4" s="731"/>
      <c r="S4" s="731"/>
      <c r="T4" s="731"/>
      <c r="U4" s="731"/>
    </row>
    <row r="5" spans="1:22" s="60" customFormat="1" ht="14.1" customHeight="1">
      <c r="A5" s="59" t="str">
        <f>'Objetos Dominio'!$D$2</f>
        <v>Descripción</v>
      </c>
      <c r="B5" s="731" t="str">
        <f>'Objetos Dominio'!$D$12</f>
        <v xml:space="preserve">Objeto de dominio que representa la familia a la que pertenece el avión </v>
      </c>
      <c r="C5" s="731"/>
      <c r="D5" s="731"/>
      <c r="E5" s="731"/>
      <c r="F5" s="731"/>
      <c r="G5" s="731"/>
      <c r="H5" s="731"/>
      <c r="I5" s="731"/>
      <c r="J5" s="731"/>
      <c r="K5" s="731"/>
      <c r="L5" s="731"/>
      <c r="M5" s="731"/>
      <c r="N5" s="731"/>
      <c r="O5" s="731"/>
      <c r="P5" s="731"/>
      <c r="Q5" s="731"/>
      <c r="R5" s="731"/>
      <c r="S5" s="731"/>
      <c r="T5" s="731"/>
      <c r="U5" s="731"/>
    </row>
    <row r="6" spans="1:22" s="60" customFormat="1" ht="15">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605" t="str">
        <f>A25</f>
        <v>Consultar información de una familia de una  aeronave</v>
      </c>
    </row>
    <row r="7" spans="1:22" s="60" customFormat="1" ht="68.45" customHeight="1">
      <c r="A7" s="63" t="str">
        <f>Familia_Muestreo!$A$3</f>
        <v>Id</v>
      </c>
      <c r="B7" s="64" t="s">
        <v>17</v>
      </c>
      <c r="C7" s="64">
        <v>36</v>
      </c>
      <c r="D7" s="64">
        <v>36</v>
      </c>
      <c r="E7" s="64"/>
      <c r="F7" s="64"/>
      <c r="G7" s="64"/>
      <c r="H7" s="64"/>
      <c r="I7" s="64"/>
      <c r="J7" s="67" t="s">
        <v>96</v>
      </c>
      <c r="K7" s="64"/>
      <c r="L7" s="65"/>
      <c r="M7" s="66" t="s">
        <v>9</v>
      </c>
      <c r="N7" s="66" t="s">
        <v>9</v>
      </c>
      <c r="O7" s="66" t="s">
        <v>9</v>
      </c>
      <c r="P7" s="66" t="s">
        <v>14</v>
      </c>
      <c r="Q7" s="66" t="s">
        <v>9</v>
      </c>
      <c r="R7" s="66" t="s">
        <v>14</v>
      </c>
      <c r="S7" s="66" t="s">
        <v>14</v>
      </c>
      <c r="T7" s="66" t="s">
        <v>9</v>
      </c>
      <c r="U7" s="87" t="str">
        <f>Familia_Muestreo!$A$2</f>
        <v xml:space="preserve">Corresponde a un identificador único de la familia a la que el avión pertenece dentro del objeto de dominio familia. </v>
      </c>
      <c r="V7" s="584" t="s">
        <v>97</v>
      </c>
    </row>
    <row r="8" spans="1:22" s="60" customFormat="1" ht="76.5">
      <c r="A8" s="63" t="str">
        <f>Familia_Muestreo!$B$3</f>
        <v>Nombre</v>
      </c>
      <c r="B8" s="64" t="s">
        <v>17</v>
      </c>
      <c r="C8" s="64">
        <v>4</v>
      </c>
      <c r="D8" s="64">
        <v>5</v>
      </c>
      <c r="E8" s="64"/>
      <c r="F8" s="64"/>
      <c r="G8" s="64"/>
      <c r="H8" s="64"/>
      <c r="I8" s="64"/>
      <c r="J8" s="67" t="s">
        <v>588</v>
      </c>
      <c r="K8" s="64"/>
      <c r="L8" s="65"/>
      <c r="M8" s="66" t="s">
        <v>9</v>
      </c>
      <c r="N8" s="66" t="s">
        <v>9</v>
      </c>
      <c r="O8" s="66" t="s">
        <v>14</v>
      </c>
      <c r="P8" s="66" t="s">
        <v>14</v>
      </c>
      <c r="Q8" s="66" t="s">
        <v>9</v>
      </c>
      <c r="R8" s="66" t="s">
        <v>9</v>
      </c>
      <c r="S8" s="66" t="s">
        <v>14</v>
      </c>
      <c r="T8" s="66" t="s">
        <v>14</v>
      </c>
      <c r="U8" s="87" t="str">
        <f>Familia_Muestreo!$B$2</f>
        <v xml:space="preserve">Corresponde al nombre de familia del avión, el cual puede ser gestionado en cualquier momento. </v>
      </c>
      <c r="V8" s="584" t="s">
        <v>164</v>
      </c>
    </row>
    <row r="9" spans="1:22" s="60" customFormat="1" ht="45" customHeight="1" thickBot="1">
      <c r="A9" s="88" t="str">
        <f>Familia_Muestreo!$C$3</f>
        <v>Fabricante</v>
      </c>
      <c r="B9" s="97" t="s">
        <v>36</v>
      </c>
      <c r="C9" s="89"/>
      <c r="D9" s="89"/>
      <c r="E9" s="89"/>
      <c r="F9" s="89"/>
      <c r="G9" s="89"/>
      <c r="H9" s="89"/>
      <c r="I9" s="89"/>
      <c r="J9" s="89"/>
      <c r="K9" s="89"/>
      <c r="L9" s="90"/>
      <c r="M9" s="91" t="s">
        <v>14</v>
      </c>
      <c r="N9" s="91" t="s">
        <v>14</v>
      </c>
      <c r="O9" s="91" t="s">
        <v>14</v>
      </c>
      <c r="P9" s="91" t="s">
        <v>14</v>
      </c>
      <c r="Q9" s="91" t="s">
        <v>9</v>
      </c>
      <c r="R9" s="91" t="s">
        <v>9</v>
      </c>
      <c r="S9" s="91" t="s">
        <v>14</v>
      </c>
      <c r="T9" s="91" t="s">
        <v>14</v>
      </c>
      <c r="U9" s="92" t="str">
        <f>Familia_Muestreo!$C$2</f>
        <v>Corresponde al fabricante del avión.</v>
      </c>
      <c r="V9" s="584" t="s">
        <v>589</v>
      </c>
    </row>
    <row r="10" spans="1:22" s="3" customFormat="1" ht="15" thickBot="1"/>
    <row r="11" spans="1:22" s="60" customFormat="1">
      <c r="A11" s="733" t="s">
        <v>106</v>
      </c>
      <c r="B11" s="734"/>
      <c r="C11" s="735"/>
    </row>
    <row r="12" spans="1:22" s="60" customFormat="1">
      <c r="A12" s="70" t="s">
        <v>107</v>
      </c>
      <c r="B12" s="71" t="s">
        <v>49</v>
      </c>
      <c r="C12" s="72" t="s">
        <v>108</v>
      </c>
    </row>
    <row r="13" spans="1:22" s="60" customFormat="1" ht="39" customHeight="1" thickBot="1">
      <c r="A13" s="73" t="s">
        <v>110</v>
      </c>
      <c r="B13" s="74" t="str">
        <f>Familia_Muestreo!$D$2</f>
        <v>El nombre de la familia no se puede repetir.</v>
      </c>
      <c r="C13" s="75" t="str">
        <f>A8</f>
        <v>Nombre</v>
      </c>
    </row>
    <row r="16" spans="1:22" ht="15" thickBot="1"/>
    <row r="19" spans="1:11" ht="15"/>
    <row r="23" spans="1:11">
      <c r="A23" s="258" t="s">
        <v>111</v>
      </c>
      <c r="B23" s="259" t="s">
        <v>49</v>
      </c>
      <c r="C23" s="260"/>
      <c r="D23" s="261" t="s">
        <v>112</v>
      </c>
      <c r="E23" s="262"/>
      <c r="F23" s="260"/>
      <c r="G23" s="261" t="s">
        <v>113</v>
      </c>
      <c r="H23" s="798" t="s">
        <v>114</v>
      </c>
      <c r="I23" s="799"/>
      <c r="J23" s="800" t="s">
        <v>115</v>
      </c>
      <c r="K23" s="801"/>
    </row>
    <row r="24" spans="1:11" ht="15">
      <c r="A24" s="263"/>
      <c r="B24" s="264"/>
      <c r="C24" s="260" t="s">
        <v>116</v>
      </c>
      <c r="D24" s="265" t="s">
        <v>117</v>
      </c>
      <c r="E24" s="266" t="s">
        <v>49</v>
      </c>
      <c r="F24" s="267" t="s">
        <v>77</v>
      </c>
      <c r="G24" s="266" t="s">
        <v>49</v>
      </c>
      <c r="H24" s="267" t="s">
        <v>118</v>
      </c>
      <c r="I24" s="262" t="s">
        <v>49</v>
      </c>
      <c r="J24" s="307" t="s">
        <v>119</v>
      </c>
      <c r="K24" s="267" t="s">
        <v>120</v>
      </c>
    </row>
    <row r="25" spans="1:11" ht="122.25" customHeight="1">
      <c r="A25" s="802" t="s">
        <v>590</v>
      </c>
      <c r="B25" s="776" t="s">
        <v>591</v>
      </c>
      <c r="C25" s="804" t="s">
        <v>123</v>
      </c>
      <c r="D25" s="804" t="s">
        <v>42</v>
      </c>
      <c r="E25" s="804" t="s">
        <v>124</v>
      </c>
      <c r="F25" s="806" t="s">
        <v>592</v>
      </c>
      <c r="G25" s="808" t="s">
        <v>593</v>
      </c>
      <c r="H25" s="764" t="s">
        <v>594</v>
      </c>
      <c r="I25" s="804" t="s">
        <v>128</v>
      </c>
      <c r="J25" s="776" t="s">
        <v>129</v>
      </c>
      <c r="K25" s="804" t="s">
        <v>130</v>
      </c>
    </row>
    <row r="26" spans="1:11" ht="15">
      <c r="A26" s="803"/>
      <c r="B26" s="777"/>
      <c r="C26" s="805"/>
      <c r="D26" s="805"/>
      <c r="E26" s="805"/>
      <c r="F26" s="807"/>
      <c r="G26" s="809"/>
      <c r="H26" s="772"/>
      <c r="I26" s="805"/>
      <c r="J26" s="777"/>
      <c r="K26" s="805"/>
    </row>
    <row r="27" spans="1:11" ht="15"/>
    <row r="28" spans="1:11" ht="15"/>
    <row r="29" spans="1:11" ht="15"/>
    <row r="30" spans="1:11" ht="15"/>
    <row r="31" spans="1:11" ht="15"/>
    <row r="32" spans="1:11" ht="15"/>
  </sheetData>
  <mergeCells count="18">
    <mergeCell ref="K25:K26"/>
    <mergeCell ref="F25:F26"/>
    <mergeCell ref="G25:G26"/>
    <mergeCell ref="H25:H26"/>
    <mergeCell ref="I25:I26"/>
    <mergeCell ref="J25:J26"/>
    <mergeCell ref="A25:A26"/>
    <mergeCell ref="B25:B26"/>
    <mergeCell ref="C25:C26"/>
    <mergeCell ref="D25:D26"/>
    <mergeCell ref="E25:E26"/>
    <mergeCell ref="H23:I23"/>
    <mergeCell ref="J23:K23"/>
    <mergeCell ref="B2:U2"/>
    <mergeCell ref="B3:U3"/>
    <mergeCell ref="B4:U4"/>
    <mergeCell ref="B5:U5"/>
    <mergeCell ref="A11:C11"/>
  </mergeCells>
  <phoneticPr fontId="10" type="noConversion"/>
  <hyperlinks>
    <hyperlink ref="C1" location="Familia_Muestreo!A1" display="&lt;&lt; Muestreo Datos" xr:uid="{A76E2D1D-56F3-45BA-9FF2-15083291279D}"/>
    <hyperlink ref="A1" location="'Modelo Dominio Anémico'!A1" display="&lt;&lt; Modelo de dominio &gt;&gt;" xr:uid="{628D92EF-4A29-4023-825D-6B3C308F71AE}"/>
    <hyperlink ref="B1" location="'Objetos Dominio'!A1" display="&lt;&lt; Objetos de dominio" xr:uid="{F6829CC3-89C2-44C2-9887-E9E25AFB2BF2}"/>
    <hyperlink ref="C13" location="Familia_Caracterización!A8" display="Familia_Caracterización!A8" xr:uid="{A9038173-46B1-46C3-A998-10E764B6E747}"/>
    <hyperlink ref="B9" location="Familia_Caracterización!A1" display="Fabricante" xr:uid="{730FBB83-70B8-4F06-85B0-5F4BFD3B64F1}"/>
    <hyperlink ref="V6" location="Objeto Dominio 2!A16" display="Registrar Información  Horario Sede" xr:uid="{6CE29447-CDB5-4BA6-9BB9-F3BED91D388D}"/>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DC20EFF8-DD90-4C53-9BD6-E02815741F8F}">
          <x14:formula1>
            <xm:f>Valores!$F$2:$F$4</xm:f>
          </x14:formula1>
          <xm:sqref>G7</xm:sqref>
        </x14:dataValidation>
        <x14:dataValidation type="list" allowBlank="1" showInputMessage="1" showErrorMessage="1" xr:uid="{FB53BE5B-D079-4F46-9C68-B424A2E976ED}">
          <x14:formula1>
            <xm:f>Valores!$D$2:$D$3</xm:f>
          </x14:formula1>
          <xm:sqref>M7:T9</xm:sqref>
        </x14:dataValidation>
        <x14:dataValidation type="list" allowBlank="1" showInputMessage="1" showErrorMessage="1" xr:uid="{31FDD8A2-8CB1-4B87-BD28-6BBBDA83C621}">
          <x14:formula1>
            <xm:f>Valores!$E$2:$E$23</xm:f>
          </x14:formula1>
          <xm:sqref>B7:B9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A92DC-A38D-48D5-84E7-77560E8F45F8}">
  <sheetPr codeName="Hoja14">
    <tabColor theme="5" tint="0.39997558519241921"/>
  </sheetPr>
  <dimension ref="A1:D7"/>
  <sheetViews>
    <sheetView workbookViewId="0">
      <pane ySplit="3" topLeftCell="A4" activePane="bottomLeft" state="frozen"/>
      <selection pane="bottomLeft"/>
    </sheetView>
  </sheetViews>
  <sheetFormatPr defaultColWidth="10.85546875" defaultRowHeight="14.45"/>
  <cols>
    <col min="1" max="1" width="38.5703125" style="4" customWidth="1"/>
    <col min="2" max="2" width="36.5703125" style="4" bestFit="1" customWidth="1"/>
    <col min="3" max="3" width="24.5703125" style="4" bestFit="1" customWidth="1"/>
    <col min="4" max="4" width="19" style="4" bestFit="1" customWidth="1"/>
    <col min="5" max="16384" width="10.85546875" style="4"/>
  </cols>
  <sheetData>
    <row r="1" spans="1:4" customFormat="1" ht="15" thickBot="1">
      <c r="A1" s="58" t="s">
        <v>46</v>
      </c>
      <c r="B1" s="69" t="s">
        <v>74</v>
      </c>
      <c r="C1" s="69" t="s">
        <v>145</v>
      </c>
    </row>
    <row r="2" spans="1:4" s="3" customFormat="1" ht="23.25">
      <c r="A2" s="22" t="s">
        <v>595</v>
      </c>
      <c r="B2" s="23" t="s">
        <v>596</v>
      </c>
      <c r="C2" s="23" t="s">
        <v>597</v>
      </c>
      <c r="D2" s="24" t="s">
        <v>598</v>
      </c>
    </row>
    <row r="3" spans="1:4">
      <c r="A3" s="41" t="s">
        <v>133</v>
      </c>
      <c r="B3" s="42" t="s">
        <v>47</v>
      </c>
      <c r="C3" s="119" t="s">
        <v>36</v>
      </c>
      <c r="D3" s="20" t="s">
        <v>153</v>
      </c>
    </row>
    <row r="4" spans="1:4">
      <c r="A4" s="38" t="s">
        <v>599</v>
      </c>
      <c r="B4" s="33" t="s">
        <v>600</v>
      </c>
      <c r="C4" s="120" t="s">
        <v>584</v>
      </c>
      <c r="D4" s="20" t="str">
        <f>B4&amp;"-"&amp;C4</f>
        <v>A318-Airbus</v>
      </c>
    </row>
    <row r="5" spans="1:4">
      <c r="A5" s="38" t="s">
        <v>601</v>
      </c>
      <c r="B5" s="33" t="s">
        <v>602</v>
      </c>
      <c r="C5" s="120" t="s">
        <v>584</v>
      </c>
      <c r="D5" s="20" t="str">
        <f t="shared" ref="D5:D7" si="0">B5&amp;"-"&amp;C5</f>
        <v>A319-Airbus</v>
      </c>
    </row>
    <row r="6" spans="1:4">
      <c r="A6" s="38" t="s">
        <v>603</v>
      </c>
      <c r="B6" s="33" t="s">
        <v>604</v>
      </c>
      <c r="C6" s="120" t="s">
        <v>584</v>
      </c>
      <c r="D6" s="20" t="str">
        <f t="shared" si="0"/>
        <v>A320-Airbus</v>
      </c>
    </row>
    <row r="7" spans="1:4">
      <c r="A7" s="38" t="s">
        <v>605</v>
      </c>
      <c r="B7" s="33" t="s">
        <v>606</v>
      </c>
      <c r="C7" s="120" t="s">
        <v>584</v>
      </c>
      <c r="D7" s="20" t="str">
        <f t="shared" si="0"/>
        <v>A321-Airbus</v>
      </c>
    </row>
  </sheetData>
  <hyperlinks>
    <hyperlink ref="C1" location="Familia_Caracterización!A1" display="Caracterización objeto &gt;&gt;" xr:uid="{18FAAA0D-A8F7-4B6E-AECE-64868D3D0FBB}"/>
    <hyperlink ref="A1" location="'Modelo Dominio Anémico'!A1" display="&lt;&lt; Modelo de dominio &gt;&gt;" xr:uid="{003D9B8A-34D4-4A24-9A0D-B4D37C44EAC5}"/>
    <hyperlink ref="B1" location="'Objetos Dominio'!A1" display="&lt;&lt; Objetos de dominio" xr:uid="{834A3C5B-E806-46CD-83E9-3EC85527C59E}"/>
    <hyperlink ref="C3" location="Fabricante_Muestreo!A1" display="Fabricante" xr:uid="{61C16607-C987-4423-A502-F6339C6DC253}"/>
    <hyperlink ref="C4" location="Fabricante_Muestreo!A4" display="Airbus" xr:uid="{67AB8D42-ACAB-49A2-B748-3BB324041E9D}"/>
    <hyperlink ref="C5:C7" location="Fabricante_Muestreo!A4" display="Airbus" xr:uid="{CE090E46-0D89-4ECA-B407-DC54343F44CB}"/>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8B55-2249-43D0-B29F-9A2F8BEB6DBA}">
  <sheetPr>
    <tabColor rgb="FF7030A0"/>
  </sheetPr>
  <dimension ref="A1:X46"/>
  <sheetViews>
    <sheetView workbookViewId="0">
      <selection activeCell="L27" sqref="L27"/>
    </sheetView>
  </sheetViews>
  <sheetFormatPr defaultColWidth="10.85546875" defaultRowHeight="14.45"/>
  <cols>
    <col min="1" max="4" width="38.5703125" style="4" customWidth="1"/>
    <col min="5" max="5" width="21" style="4" customWidth="1"/>
    <col min="6" max="6" width="23.42578125" style="4" customWidth="1"/>
    <col min="7" max="7" width="16.42578125" style="4" customWidth="1"/>
    <col min="8" max="8" width="32.42578125" style="4" bestFit="1" customWidth="1"/>
    <col min="9" max="9" width="29.42578125" style="4" bestFit="1" customWidth="1"/>
    <col min="10" max="10" width="40.5703125" style="4" customWidth="1"/>
    <col min="11" max="11" width="33.42578125" style="4" customWidth="1"/>
    <col min="12" max="12" width="34.28515625" style="4"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54.5703125" style="4" customWidth="1"/>
    <col min="23" max="23" width="31.85546875" style="4" customWidth="1"/>
    <col min="24" max="24" width="28.140625" style="4" customWidth="1"/>
    <col min="25" max="16384" width="10.85546875" style="4"/>
  </cols>
  <sheetData>
    <row r="1" spans="1:24" customFormat="1">
      <c r="A1" s="58" t="s">
        <v>46</v>
      </c>
      <c r="B1" s="69" t="s">
        <v>74</v>
      </c>
      <c r="C1" s="69" t="s">
        <v>75</v>
      </c>
    </row>
    <row r="2" spans="1:24" s="60" customFormat="1">
      <c r="A2" s="59" t="str">
        <f>'Objetos Dominio'!$A$2</f>
        <v>Nombre</v>
      </c>
      <c r="B2" s="730" t="str">
        <f>'Objetos Dominio'!$A$13</f>
        <v>Matricula</v>
      </c>
      <c r="C2" s="730"/>
      <c r="D2" s="730"/>
      <c r="E2" s="730"/>
      <c r="F2" s="730"/>
      <c r="G2" s="730"/>
      <c r="H2" s="730"/>
      <c r="I2" s="730"/>
      <c r="J2" s="730"/>
      <c r="K2" s="730"/>
      <c r="L2" s="730"/>
      <c r="M2" s="730"/>
      <c r="N2" s="730"/>
      <c r="O2" s="730"/>
      <c r="P2" s="730"/>
      <c r="Q2" s="730"/>
      <c r="R2" s="730"/>
      <c r="S2" s="730"/>
      <c r="T2" s="730"/>
      <c r="U2" s="730"/>
    </row>
    <row r="3" spans="1:24" s="60" customFormat="1" ht="14.1" customHeight="1">
      <c r="A3" s="59" t="str">
        <f>'Objetos Dominio'!$B$2</f>
        <v>Tipo</v>
      </c>
      <c r="B3" s="731" t="str">
        <f>'Objetos Dominio'!$B$13</f>
        <v>Referenciado</v>
      </c>
      <c r="C3" s="731"/>
      <c r="D3" s="731"/>
      <c r="E3" s="731"/>
      <c r="F3" s="731"/>
      <c r="G3" s="731"/>
      <c r="H3" s="731"/>
      <c r="I3" s="731"/>
      <c r="J3" s="731"/>
      <c r="K3" s="731"/>
      <c r="L3" s="731"/>
      <c r="M3" s="731"/>
      <c r="N3" s="731"/>
      <c r="O3" s="731"/>
      <c r="P3" s="731"/>
      <c r="Q3" s="731"/>
      <c r="R3" s="731"/>
      <c r="S3" s="731"/>
      <c r="T3" s="731"/>
      <c r="U3" s="731"/>
    </row>
    <row r="4" spans="1:24" s="60" customFormat="1" ht="14.1" customHeight="1">
      <c r="A4" s="59" t="str">
        <f>'Objetos Dominio'!$C$2</f>
        <v>Contexto Origen</v>
      </c>
      <c r="B4" s="731">
        <f>'Objetos Dominio'!$C$13</f>
        <v>0</v>
      </c>
      <c r="C4" s="731"/>
      <c r="D4" s="731"/>
      <c r="E4" s="731"/>
      <c r="F4" s="731"/>
      <c r="G4" s="731"/>
      <c r="H4" s="731"/>
      <c r="I4" s="731"/>
      <c r="J4" s="731"/>
      <c r="K4" s="731"/>
      <c r="L4" s="731"/>
      <c r="M4" s="731"/>
      <c r="N4" s="731"/>
      <c r="O4" s="731"/>
      <c r="P4" s="731"/>
      <c r="Q4" s="731"/>
      <c r="R4" s="731"/>
      <c r="S4" s="731"/>
      <c r="T4" s="731"/>
      <c r="U4" s="731"/>
    </row>
    <row r="5" spans="1:24" s="60" customFormat="1" ht="14.1" customHeight="1">
      <c r="A5" s="94" t="str">
        <f>'Objetos Dominio'!$D$2</f>
        <v>Descripción</v>
      </c>
      <c r="B5" s="732" t="str">
        <f>'Objetos Dominio'!$D$13</f>
        <v>Objeto de domino que representa un código asignado a la aeronave por un país</v>
      </c>
      <c r="C5" s="732"/>
      <c r="D5" s="732"/>
      <c r="E5" s="732"/>
      <c r="F5" s="732"/>
      <c r="G5" s="732"/>
      <c r="H5" s="732"/>
      <c r="I5" s="732"/>
      <c r="J5" s="732"/>
      <c r="K5" s="732"/>
      <c r="L5" s="732"/>
      <c r="M5" s="732"/>
      <c r="N5" s="732"/>
      <c r="O5" s="732"/>
      <c r="P5" s="732"/>
      <c r="Q5" s="732"/>
      <c r="R5" s="732"/>
      <c r="S5" s="732"/>
      <c r="T5" s="732"/>
      <c r="U5" s="732"/>
    </row>
    <row r="6" spans="1:24" s="60" customFormat="1" ht="15">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617" t="str">
        <f>A24</f>
        <v>Consultar Matricula</v>
      </c>
      <c r="W6" s="617" t="str">
        <f>A26</f>
        <v>Agregar Matricula</v>
      </c>
      <c r="X6" s="580" t="str">
        <f>A29</f>
        <v>Actualizar Matricula</v>
      </c>
    </row>
    <row r="7" spans="1:24" s="60" customFormat="1" ht="40.5">
      <c r="A7" s="63" t="str">
        <f>Matricula_Muestreo!$A$3</f>
        <v>Id</v>
      </c>
      <c r="B7" s="64" t="s">
        <v>17</v>
      </c>
      <c r="C7" s="64">
        <v>36</v>
      </c>
      <c r="D7" s="64">
        <v>36</v>
      </c>
      <c r="E7" s="64"/>
      <c r="F7" s="64"/>
      <c r="G7" s="64"/>
      <c r="H7" s="64"/>
      <c r="I7" s="64"/>
      <c r="J7" s="67" t="s">
        <v>607</v>
      </c>
      <c r="K7" s="64"/>
      <c r="L7" s="65"/>
      <c r="M7" s="66" t="s">
        <v>9</v>
      </c>
      <c r="N7" s="66" t="s">
        <v>9</v>
      </c>
      <c r="O7" s="66" t="s">
        <v>9</v>
      </c>
      <c r="P7" s="66" t="s">
        <v>14</v>
      </c>
      <c r="Q7" s="66" t="s">
        <v>9</v>
      </c>
      <c r="R7" s="66" t="s">
        <v>14</v>
      </c>
      <c r="S7" s="66" t="s">
        <v>14</v>
      </c>
      <c r="T7" s="66" t="s">
        <v>9</v>
      </c>
      <c r="U7" s="87" t="str">
        <f>Matricula_Muestreo!A2</f>
        <v>Corresponde a un identificador único de la matrícula de la aeronave.</v>
      </c>
      <c r="V7" s="581" t="s">
        <v>97</v>
      </c>
      <c r="W7" s="581" t="s">
        <v>98</v>
      </c>
      <c r="X7" s="582" t="s">
        <v>253</v>
      </c>
    </row>
    <row r="8" spans="1:24" s="60" customFormat="1" ht="45.75">
      <c r="A8" s="63" t="str">
        <f>Matricula_Muestreo!$B$3</f>
        <v>Numero</v>
      </c>
      <c r="B8" s="63" t="s">
        <v>17</v>
      </c>
      <c r="C8" s="64">
        <v>5</v>
      </c>
      <c r="D8" s="64">
        <v>7</v>
      </c>
      <c r="E8" s="64"/>
      <c r="F8" s="64"/>
      <c r="G8" s="64"/>
      <c r="H8" s="64"/>
      <c r="I8" s="64"/>
      <c r="J8" s="67" t="s">
        <v>608</v>
      </c>
      <c r="K8" s="64"/>
      <c r="L8" s="65"/>
      <c r="M8" s="66" t="s">
        <v>9</v>
      </c>
      <c r="N8" s="66" t="s">
        <v>9</v>
      </c>
      <c r="O8" s="66" t="s">
        <v>9</v>
      </c>
      <c r="P8" s="66" t="s">
        <v>14</v>
      </c>
      <c r="Q8" s="66" t="s">
        <v>9</v>
      </c>
      <c r="R8" s="66" t="s">
        <v>9</v>
      </c>
      <c r="S8" s="66" t="s">
        <v>9</v>
      </c>
      <c r="T8" s="66" t="s">
        <v>9</v>
      </c>
      <c r="U8" s="87" t="str">
        <f>Matricula_Muestreo!B2</f>
        <v>Corresponde al modelo  que tiene asociado el avión</v>
      </c>
      <c r="V8" s="581" t="s">
        <v>386</v>
      </c>
      <c r="W8" s="581" t="s">
        <v>98</v>
      </c>
      <c r="X8" s="582" t="s">
        <v>254</v>
      </c>
    </row>
    <row r="9" spans="1:24" s="60" customFormat="1" ht="60.75">
      <c r="A9" s="63" t="str">
        <f>Matricula_Muestreo!$C$3</f>
        <v>Modelo</v>
      </c>
      <c r="B9" s="96" t="s">
        <v>41</v>
      </c>
      <c r="C9" s="64"/>
      <c r="D9" s="64"/>
      <c r="E9" s="64"/>
      <c r="F9" s="64"/>
      <c r="G9" s="64"/>
      <c r="H9" s="64"/>
      <c r="I9" s="64"/>
      <c r="J9" s="64"/>
      <c r="K9" s="64"/>
      <c r="L9" s="68"/>
      <c r="M9" s="66" t="s">
        <v>14</v>
      </c>
      <c r="N9" s="66" t="s">
        <v>14</v>
      </c>
      <c r="O9" s="66" t="s">
        <v>14</v>
      </c>
      <c r="P9" s="66" t="s">
        <v>14</v>
      </c>
      <c r="Q9" s="66" t="s">
        <v>9</v>
      </c>
      <c r="R9" s="66" t="s">
        <v>9</v>
      </c>
      <c r="S9" s="66" t="s">
        <v>14</v>
      </c>
      <c r="T9" s="66" t="s">
        <v>14</v>
      </c>
      <c r="U9" s="87" t="str">
        <f>Matricula_Muestreo!C2</f>
        <v>Corresponde al modelo  que tiene asociado el avión</v>
      </c>
      <c r="V9" s="579" t="s">
        <v>609</v>
      </c>
      <c r="W9" s="581" t="s">
        <v>98</v>
      </c>
      <c r="X9" s="607" t="s">
        <v>391</v>
      </c>
    </row>
    <row r="10" spans="1:24" s="60" customFormat="1" ht="45.75">
      <c r="A10" s="63" t="str">
        <f>Matricula_Muestreo!$D$3</f>
        <v>Aerolínea</v>
      </c>
      <c r="B10" s="96" t="s">
        <v>35</v>
      </c>
      <c r="C10" s="64"/>
      <c r="D10" s="64"/>
      <c r="E10" s="64"/>
      <c r="F10" s="64"/>
      <c r="G10" s="64"/>
      <c r="H10" s="64"/>
      <c r="I10" s="64"/>
      <c r="J10" s="64"/>
      <c r="K10" s="67"/>
      <c r="L10" s="65"/>
      <c r="M10" s="66" t="s">
        <v>14</v>
      </c>
      <c r="N10" s="66" t="s">
        <v>14</v>
      </c>
      <c r="O10" s="66" t="s">
        <v>14</v>
      </c>
      <c r="P10" s="66" t="s">
        <v>14</v>
      </c>
      <c r="Q10" s="66" t="s">
        <v>9</v>
      </c>
      <c r="R10" s="66" t="s">
        <v>9</v>
      </c>
      <c r="S10" s="66" t="s">
        <v>14</v>
      </c>
      <c r="T10" s="66" t="s">
        <v>14</v>
      </c>
      <c r="U10" s="594" t="str">
        <f>Matricula_Muestreo!D2</f>
        <v>Corresponde al nombre de  la aerolínea a la que pertenece el avión</v>
      </c>
      <c r="V10" s="584" t="s">
        <v>610</v>
      </c>
      <c r="W10" s="619" t="s">
        <v>98</v>
      </c>
      <c r="X10" s="618" t="s">
        <v>611</v>
      </c>
    </row>
    <row r="11" spans="1:24" s="60" customFormat="1" ht="45" customHeight="1">
      <c r="V11" s="596"/>
      <c r="W11" s="596"/>
      <c r="X11" s="595"/>
    </row>
    <row r="12" spans="1:24" s="60" customFormat="1" ht="15">
      <c r="V12" s="596"/>
      <c r="W12" s="596"/>
      <c r="X12" s="595"/>
    </row>
    <row r="13" spans="1:24" s="60" customFormat="1" ht="15">
      <c r="V13" s="596"/>
      <c r="W13" s="596"/>
      <c r="X13" s="595"/>
    </row>
    <row r="14" spans="1:24" s="3" customFormat="1" ht="15" thickBot="1"/>
    <row r="15" spans="1:24" s="60" customFormat="1">
      <c r="A15" s="733" t="s">
        <v>106</v>
      </c>
      <c r="B15" s="734"/>
      <c r="C15" s="735"/>
    </row>
    <row r="16" spans="1:24" s="60" customFormat="1">
      <c r="A16" s="70" t="s">
        <v>107</v>
      </c>
      <c r="B16" s="71" t="s">
        <v>49</v>
      </c>
      <c r="C16" s="72" t="s">
        <v>108</v>
      </c>
    </row>
    <row r="17" spans="1:11" s="60" customFormat="1" ht="15">
      <c r="A17" s="755" t="s">
        <v>612</v>
      </c>
      <c r="B17" s="757" t="str">
        <f>Matricula_Muestreo!E2</f>
        <v>Un avión no puede estar más de una vez configurado con la misma matricula y modelo</v>
      </c>
      <c r="C17" s="85" t="str">
        <f>A8</f>
        <v>Numero</v>
      </c>
    </row>
    <row r="18" spans="1:11" s="60" customFormat="1" ht="15" thickBot="1">
      <c r="A18" s="756"/>
      <c r="B18" s="758"/>
      <c r="C18" s="75" t="str">
        <f>A9</f>
        <v>Modelo</v>
      </c>
    </row>
    <row r="22" spans="1:11" ht="15">
      <c r="A22" s="155" t="s">
        <v>111</v>
      </c>
      <c r="B22" s="156" t="s">
        <v>49</v>
      </c>
      <c r="C22" s="403"/>
      <c r="D22" s="404" t="s">
        <v>112</v>
      </c>
      <c r="E22" s="156"/>
      <c r="F22" s="403"/>
      <c r="G22" s="404" t="s">
        <v>113</v>
      </c>
      <c r="H22" s="726" t="s">
        <v>114</v>
      </c>
      <c r="I22" s="727"/>
      <c r="J22" s="728" t="s">
        <v>115</v>
      </c>
      <c r="K22" s="729"/>
    </row>
    <row r="23" spans="1:11" ht="15">
      <c r="A23" s="426"/>
      <c r="B23" s="427"/>
      <c r="C23" s="403" t="s">
        <v>116</v>
      </c>
      <c r="D23" s="428" t="s">
        <v>117</v>
      </c>
      <c r="E23" s="405" t="s">
        <v>49</v>
      </c>
      <c r="F23" s="429" t="s">
        <v>77</v>
      </c>
      <c r="G23" s="405" t="s">
        <v>49</v>
      </c>
      <c r="H23" s="429" t="s">
        <v>118</v>
      </c>
      <c r="I23" s="156" t="s">
        <v>49</v>
      </c>
      <c r="J23" s="155" t="s">
        <v>119</v>
      </c>
      <c r="K23" s="429" t="s">
        <v>120</v>
      </c>
    </row>
    <row r="24" spans="1:11" ht="104.25" customHeight="1">
      <c r="A24" s="244" t="s">
        <v>613</v>
      </c>
      <c r="B24" s="244" t="s">
        <v>259</v>
      </c>
      <c r="C24" s="345" t="s">
        <v>123</v>
      </c>
      <c r="D24" s="346" t="s">
        <v>38</v>
      </c>
      <c r="E24" s="219" t="s">
        <v>124</v>
      </c>
      <c r="F24" s="338" t="s">
        <v>614</v>
      </c>
      <c r="G24" s="347" t="s">
        <v>535</v>
      </c>
      <c r="H24" s="238" t="s">
        <v>615</v>
      </c>
      <c r="I24" s="219" t="s">
        <v>128</v>
      </c>
      <c r="J24" s="217" t="s">
        <v>129</v>
      </c>
      <c r="K24" s="327" t="s">
        <v>130</v>
      </c>
    </row>
    <row r="25" spans="1:11" ht="43.5" customHeight="1">
      <c r="A25" s="241"/>
      <c r="B25" s="241"/>
      <c r="C25" s="348"/>
      <c r="D25" s="28"/>
      <c r="E25" s="333"/>
      <c r="F25" s="344"/>
      <c r="G25" s="356"/>
      <c r="H25" s="246" t="s">
        <v>616</v>
      </c>
      <c r="I25" s="446" t="s">
        <v>617</v>
      </c>
      <c r="J25" s="219" t="s">
        <v>618</v>
      </c>
      <c r="K25" s="327" t="s">
        <v>130</v>
      </c>
    </row>
    <row r="26" spans="1:11" ht="60.75">
      <c r="A26" s="245" t="s">
        <v>619</v>
      </c>
      <c r="B26" s="227" t="s">
        <v>620</v>
      </c>
      <c r="C26" s="345" t="s">
        <v>267</v>
      </c>
      <c r="D26" s="346" t="s">
        <v>38</v>
      </c>
      <c r="E26" s="430" t="s">
        <v>543</v>
      </c>
      <c r="F26" s="382"/>
      <c r="G26" s="219"/>
      <c r="H26" s="424" t="s">
        <v>621</v>
      </c>
      <c r="I26" s="356" t="s">
        <v>622</v>
      </c>
      <c r="J26" s="686" t="s">
        <v>129</v>
      </c>
      <c r="K26" s="334" t="s">
        <v>277</v>
      </c>
    </row>
    <row r="27" spans="1:11" ht="50.25" customHeight="1">
      <c r="A27" s="247"/>
      <c r="B27" s="249"/>
      <c r="C27" s="348"/>
      <c r="D27" s="28"/>
      <c r="E27" s="431"/>
      <c r="F27" s="326"/>
      <c r="G27" s="333"/>
      <c r="H27" s="425" t="s">
        <v>623</v>
      </c>
      <c r="I27" s="684" t="s">
        <v>624</v>
      </c>
      <c r="J27" s="433"/>
      <c r="K27" s="682" t="s">
        <v>277</v>
      </c>
    </row>
    <row r="28" spans="1:11" ht="91.5">
      <c r="A28" s="348"/>
      <c r="B28" s="28"/>
      <c r="C28" s="340"/>
      <c r="D28" s="354"/>
      <c r="E28" s="341"/>
      <c r="F28" s="432"/>
      <c r="G28" s="406"/>
      <c r="H28" s="203" t="s">
        <v>616</v>
      </c>
      <c r="I28" s="172" t="s">
        <v>185</v>
      </c>
      <c r="J28" s="685" t="s">
        <v>129</v>
      </c>
      <c r="K28" s="332" t="s">
        <v>130</v>
      </c>
    </row>
    <row r="29" spans="1:11" ht="116.25" customHeight="1">
      <c r="A29" s="245" t="s">
        <v>625</v>
      </c>
      <c r="B29" s="358" t="s">
        <v>626</v>
      </c>
      <c r="C29" s="348" t="s">
        <v>133</v>
      </c>
      <c r="D29" s="344" t="s">
        <v>17</v>
      </c>
      <c r="E29" s="448" t="s">
        <v>540</v>
      </c>
      <c r="F29" s="326"/>
      <c r="G29" s="319"/>
      <c r="H29" s="250" t="s">
        <v>621</v>
      </c>
      <c r="I29" s="219" t="s">
        <v>622</v>
      </c>
      <c r="J29" s="683" t="s">
        <v>129</v>
      </c>
      <c r="K29" s="335" t="s">
        <v>130</v>
      </c>
    </row>
    <row r="30" spans="1:11" ht="116.25" customHeight="1">
      <c r="A30" s="247"/>
      <c r="B30" s="356"/>
      <c r="C30" s="778" t="s">
        <v>267</v>
      </c>
      <c r="D30" s="778" t="s">
        <v>38</v>
      </c>
      <c r="E30" s="796" t="s">
        <v>543</v>
      </c>
      <c r="F30" s="327"/>
      <c r="G30" s="343"/>
      <c r="H30" s="165" t="s">
        <v>616</v>
      </c>
      <c r="I30" s="321" t="s">
        <v>185</v>
      </c>
      <c r="J30" s="447" t="s">
        <v>129</v>
      </c>
      <c r="K30" s="334" t="s">
        <v>130</v>
      </c>
    </row>
    <row r="31" spans="1:11" ht="60.75" customHeight="1">
      <c r="A31" s="252"/>
      <c r="B31" s="343"/>
      <c r="C31" s="779"/>
      <c r="D31" s="779"/>
      <c r="E31" s="797"/>
      <c r="F31" s="349"/>
      <c r="G31" s="343"/>
      <c r="H31" s="444" t="s">
        <v>623</v>
      </c>
      <c r="I31" s="379" t="s">
        <v>624</v>
      </c>
      <c r="J31" s="669" t="s">
        <v>129</v>
      </c>
      <c r="K31" s="682" t="s">
        <v>130</v>
      </c>
    </row>
    <row r="32" spans="1:11" ht="15">
      <c r="A32" s="243"/>
      <c r="B32" s="243"/>
    </row>
    <row r="33" ht="15"/>
    <row r="34" ht="15"/>
    <row r="35" ht="15"/>
    <row r="36" ht="15"/>
    <row r="37" ht="15"/>
    <row r="38" ht="15"/>
    <row r="39" ht="15"/>
    <row r="40" ht="15"/>
    <row r="41" ht="15"/>
    <row r="42" ht="15"/>
    <row r="43" ht="15"/>
    <row r="44" ht="15"/>
    <row r="45" ht="15"/>
    <row r="46" ht="15"/>
  </sheetData>
  <mergeCells count="12">
    <mergeCell ref="C30:C31"/>
    <mergeCell ref="D30:D31"/>
    <mergeCell ref="E30:E31"/>
    <mergeCell ref="H22:I22"/>
    <mergeCell ref="J22:K22"/>
    <mergeCell ref="A17:A18"/>
    <mergeCell ref="B17:B18"/>
    <mergeCell ref="B2:U2"/>
    <mergeCell ref="B3:U3"/>
    <mergeCell ref="B4:U4"/>
    <mergeCell ref="B5:U5"/>
    <mergeCell ref="A15:C15"/>
  </mergeCells>
  <phoneticPr fontId="10" type="noConversion"/>
  <hyperlinks>
    <hyperlink ref="C1" location="Avion_Muestreo!A1" display="&lt;&lt; Muestreo Datos" xr:uid="{7E92759F-9A40-4CE4-8D05-6B693EF1FFDC}"/>
    <hyperlink ref="A1" location="'Modelo Dominio Anémico'!A1" display="&lt;&lt; Modelo de dominio &gt;&gt;" xr:uid="{40EAE941-33E0-4804-B348-C78900529AA0}"/>
    <hyperlink ref="B1" location="'Objetos Dominio'!A1" display="&lt;&lt; Objetos de dominio" xr:uid="{5909EF4A-06DF-45F5-9EAC-FCB8F63782DB}"/>
    <hyperlink ref="C17" location="Avion_Caracterización!A8" display="Avion_Caracterización!A8" xr:uid="{74816AA3-9ED3-4A5D-A4D4-5854C8ECEC24}"/>
    <hyperlink ref="C18" location="Avion_Caracterización!A9" display="Avion_Caracterización!A9" xr:uid="{B3BDC73C-9CF2-40F1-96CC-45B962DE5E0E}"/>
    <hyperlink ref="B9" location="Modelo_Caracterización!A1" display="Modelo" xr:uid="{CC27D455-8F18-44E2-AF65-C6349C42981C}"/>
    <hyperlink ref="B10" location="Aerolinea_Caracterización!A1" display="Aerolinea" xr:uid="{7A156BDF-47C7-46FE-92A8-64826CC760AF}"/>
    <hyperlink ref="V6" location="Objeto Dominio 2!A16" display="Registrar Información  Horario Sede" xr:uid="{0086F8E4-43DE-4F15-BC47-7E3BE2A98691}"/>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9CBE3489-A891-42A2-A228-7AE0B9BD10D8}">
          <x14:formula1>
            <xm:f>Valores!$D$2:$D$3</xm:f>
          </x14:formula1>
          <xm:sqref>M7:T10</xm:sqref>
        </x14:dataValidation>
        <x14:dataValidation type="list" allowBlank="1" showInputMessage="1" showErrorMessage="1" xr:uid="{AE9718E0-AB52-4D1B-B663-EDD293BB3608}">
          <x14:formula1>
            <xm:f>Valores!$F$2:$F$4</xm:f>
          </x14:formula1>
          <xm:sqref>G7</xm:sqref>
        </x14:dataValidation>
        <x14:dataValidation type="list" allowBlank="1" showInputMessage="1" showErrorMessage="1" xr:uid="{F9B1EB78-334B-4FA7-9343-17DBF2055A50}">
          <x14:formula1>
            <xm:f>Valores!$E$2:$E$29</xm:f>
          </x14:formula1>
          <xm:sqref>B8:B10</xm:sqref>
        </x14:dataValidation>
        <x14:dataValidation type="list" allowBlank="1" showInputMessage="1" showErrorMessage="1" xr:uid="{9B02175D-884A-4AAD-90B4-B714926EE122}">
          <x14:formula1>
            <xm:f>Valores!$E$2:$E$23</xm:f>
          </x14:formula1>
          <xm:sqref>B7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881CB-056E-4824-B96B-168DC609CBEC}">
  <sheetPr>
    <tabColor rgb="FF7030A0"/>
  </sheetPr>
  <dimension ref="A1:F23"/>
  <sheetViews>
    <sheetView topLeftCell="A2" workbookViewId="0">
      <selection activeCell="A4" sqref="A4"/>
    </sheetView>
  </sheetViews>
  <sheetFormatPr defaultColWidth="10.85546875" defaultRowHeight="14.45"/>
  <cols>
    <col min="1" max="1" width="46.28515625" style="4" customWidth="1"/>
    <col min="2" max="2" width="31.140625" style="4" customWidth="1"/>
    <col min="3" max="3" width="27" style="4" customWidth="1"/>
    <col min="4" max="4" width="32.42578125" style="4" customWidth="1"/>
    <col min="5" max="5" width="37.85546875" style="4" customWidth="1"/>
    <col min="6" max="7" width="46.28515625" style="4" customWidth="1"/>
    <col min="8" max="8" width="67.42578125" style="4" bestFit="1" customWidth="1"/>
    <col min="9" max="16384" width="10.85546875" style="4"/>
  </cols>
  <sheetData>
    <row r="1" spans="1:6" customFormat="1" ht="15" thickBot="1">
      <c r="A1" s="58" t="s">
        <v>46</v>
      </c>
      <c r="B1" s="69" t="s">
        <v>74</v>
      </c>
      <c r="C1" s="69" t="s">
        <v>145</v>
      </c>
      <c r="D1" s="4"/>
      <c r="F1" s="4"/>
    </row>
    <row r="2" spans="1:6" s="1" customFormat="1" ht="23.25">
      <c r="A2" s="8" t="s">
        <v>627</v>
      </c>
      <c r="B2" s="9" t="s">
        <v>628</v>
      </c>
      <c r="C2" s="9" t="s">
        <v>628</v>
      </c>
      <c r="D2" s="9" t="s">
        <v>629</v>
      </c>
      <c r="E2" s="10" t="s">
        <v>630</v>
      </c>
    </row>
    <row r="3" spans="1:6" s="28" customFormat="1">
      <c r="A3" s="11" t="s">
        <v>133</v>
      </c>
      <c r="B3" s="127" t="s">
        <v>631</v>
      </c>
      <c r="C3" s="103" t="s">
        <v>41</v>
      </c>
      <c r="D3" s="104" t="s">
        <v>35</v>
      </c>
      <c r="E3" s="19" t="s">
        <v>153</v>
      </c>
    </row>
    <row r="4" spans="1:6">
      <c r="A4" s="45" t="s">
        <v>159</v>
      </c>
      <c r="B4" s="108" t="s">
        <v>632</v>
      </c>
      <c r="C4" s="103" t="str">
        <f>Modelo_Muestreo!$F$6</f>
        <v>A320-112</v>
      </c>
      <c r="D4" s="103" t="str">
        <f>Aerolinea_Muestreo!$F$4</f>
        <v>Latam Airlines</v>
      </c>
      <c r="E4" s="16" t="str">
        <f>_xlfn.CONCAT(B4," ",C4)</f>
        <v>CC-BAQ A320-112</v>
      </c>
    </row>
    <row r="5" spans="1:6">
      <c r="A5" s="45" t="s">
        <v>633</v>
      </c>
      <c r="B5" s="108" t="s">
        <v>634</v>
      </c>
      <c r="C5" s="103" t="str">
        <f>Modelo_Muestreo!$F$6</f>
        <v>A320-112</v>
      </c>
      <c r="D5" s="103" t="str">
        <f>Aerolinea_Muestreo!$F$4</f>
        <v>Latam Airlines</v>
      </c>
      <c r="E5" s="16" t="str">
        <f t="shared" ref="E5:E23" si="0">_xlfn.CONCAT(B5," ",C5)</f>
        <v>CC-BAR A320-112</v>
      </c>
    </row>
    <row r="6" spans="1:6">
      <c r="A6" s="45" t="s">
        <v>635</v>
      </c>
      <c r="B6" s="108" t="s">
        <v>636</v>
      </c>
      <c r="C6" s="103" t="str">
        <f>Modelo_Muestreo!$F$6</f>
        <v>A320-112</v>
      </c>
      <c r="D6" s="103" t="str">
        <f>Aerolinea_Muestreo!$F$4</f>
        <v>Latam Airlines</v>
      </c>
      <c r="E6" s="16" t="str">
        <f t="shared" si="0"/>
        <v>CC-BAS A320-112</v>
      </c>
    </row>
    <row r="7" spans="1:6">
      <c r="A7" s="45" t="s">
        <v>637</v>
      </c>
      <c r="B7" s="108" t="s">
        <v>638</v>
      </c>
      <c r="C7" s="103" t="str">
        <f>Modelo_Muestreo!$F$6</f>
        <v>A320-112</v>
      </c>
      <c r="D7" s="103" t="str">
        <f>Aerolinea_Muestreo!$F$4</f>
        <v>Latam Airlines</v>
      </c>
      <c r="E7" s="16" t="str">
        <f t="shared" si="0"/>
        <v>CC-BAW A320-112</v>
      </c>
    </row>
    <row r="8" spans="1:6">
      <c r="A8" s="117" t="s">
        <v>447</v>
      </c>
      <c r="B8" s="108" t="s">
        <v>639</v>
      </c>
      <c r="C8" s="103" t="str">
        <f>Modelo_Muestreo!$F$6</f>
        <v>A320-112</v>
      </c>
      <c r="D8" s="103" t="str">
        <f>Aerolinea_Muestreo!$F$4</f>
        <v>Latam Airlines</v>
      </c>
      <c r="E8" s="16" t="str">
        <f t="shared" si="0"/>
        <v>CC-BAX A320-112</v>
      </c>
    </row>
    <row r="9" spans="1:6">
      <c r="A9" s="117" t="s">
        <v>451</v>
      </c>
      <c r="B9" s="108" t="s">
        <v>640</v>
      </c>
      <c r="C9" s="103" t="str">
        <f>Modelo_Muestreo!$F$6</f>
        <v>A320-112</v>
      </c>
      <c r="D9" s="103" t="str">
        <f>Aerolinea_Muestreo!$F$4</f>
        <v>Latam Airlines</v>
      </c>
      <c r="E9" s="16" t="str">
        <f t="shared" si="0"/>
        <v>CC-BFA A320-112</v>
      </c>
    </row>
    <row r="10" spans="1:6">
      <c r="A10" s="117" t="s">
        <v>455</v>
      </c>
      <c r="B10" s="108" t="s">
        <v>641</v>
      </c>
      <c r="C10" s="103" t="str">
        <f>Modelo_Muestreo!$F$5</f>
        <v>A319-112</v>
      </c>
      <c r="D10" s="103" t="str">
        <f>Aerolinea_Muestreo!$F$4</f>
        <v>Latam Airlines</v>
      </c>
      <c r="E10" s="16" t="str">
        <f t="shared" si="0"/>
        <v>CC-COX A319-112</v>
      </c>
    </row>
    <row r="11" spans="1:6">
      <c r="A11" s="117" t="s">
        <v>459</v>
      </c>
      <c r="B11" s="108" t="s">
        <v>642</v>
      </c>
      <c r="C11" s="103" t="str">
        <f>Modelo_Muestreo!$F$5</f>
        <v>A319-112</v>
      </c>
      <c r="D11" s="103" t="str">
        <f>Aerolinea_Muestreo!$F$4</f>
        <v>Latam Airlines</v>
      </c>
      <c r="E11" s="16" t="str">
        <f t="shared" si="0"/>
        <v>CC-CPL A319-112</v>
      </c>
    </row>
    <row r="12" spans="1:6">
      <c r="A12" s="117" t="s">
        <v>463</v>
      </c>
      <c r="B12" s="108" t="s">
        <v>643</v>
      </c>
      <c r="C12" s="103" t="str">
        <f>Modelo_Muestreo!$F$5</f>
        <v>A319-112</v>
      </c>
      <c r="D12" s="103" t="str">
        <f>Aerolinea_Muestreo!$F$4</f>
        <v>Latam Airlines</v>
      </c>
      <c r="E12" s="16" t="str">
        <f t="shared" si="0"/>
        <v>CC-CPQ A319-112</v>
      </c>
    </row>
    <row r="13" spans="1:6">
      <c r="A13" s="117" t="s">
        <v>467</v>
      </c>
      <c r="B13" s="108" t="s">
        <v>644</v>
      </c>
      <c r="C13" s="103" t="str">
        <f>Modelo_Muestreo!$F$5</f>
        <v>A319-112</v>
      </c>
      <c r="D13" s="103" t="str">
        <f>Aerolinea_Muestreo!$F$4</f>
        <v>Latam Airlines</v>
      </c>
      <c r="E13" s="16" t="str">
        <f t="shared" si="0"/>
        <v>CC-CPJ A319-112</v>
      </c>
    </row>
    <row r="14" spans="1:6">
      <c r="A14" s="117" t="s">
        <v>471</v>
      </c>
      <c r="B14" s="108" t="s">
        <v>645</v>
      </c>
      <c r="C14" s="103" t="str">
        <f>Modelo_Muestreo!$F$5</f>
        <v>A319-112</v>
      </c>
      <c r="D14" s="103" t="str">
        <f>Aerolinea_Muestreo!$F$4</f>
        <v>Latam Airlines</v>
      </c>
      <c r="E14" s="16" t="str">
        <f t="shared" si="0"/>
        <v>CC-COU A319-112</v>
      </c>
    </row>
    <row r="15" spans="1:6">
      <c r="A15" s="117" t="s">
        <v>475</v>
      </c>
      <c r="B15" s="108" t="s">
        <v>646</v>
      </c>
      <c r="C15" s="103" t="str">
        <f>Modelo_Muestreo!$F$5</f>
        <v>A319-112</v>
      </c>
      <c r="D15" s="103" t="str">
        <f>Aerolinea_Muestreo!$F$4</f>
        <v>Latam Airlines</v>
      </c>
      <c r="E15" s="16" t="str">
        <f t="shared" si="0"/>
        <v>CC-COY A319-112</v>
      </c>
    </row>
    <row r="16" spans="1:6">
      <c r="A16" s="117" t="s">
        <v>479</v>
      </c>
      <c r="B16" s="108" t="s">
        <v>647</v>
      </c>
      <c r="C16" s="103" t="str">
        <f>Modelo_Muestreo!$F$5</f>
        <v>A319-112</v>
      </c>
      <c r="D16" s="103" t="str">
        <f>Aerolinea_Muestreo!$F$4</f>
        <v>Latam Airlines</v>
      </c>
      <c r="E16" s="16" t="str">
        <f t="shared" si="0"/>
        <v>CC-COZ A319-112</v>
      </c>
    </row>
    <row r="17" spans="1:5">
      <c r="A17" s="117" t="s">
        <v>483</v>
      </c>
      <c r="B17" s="108" t="s">
        <v>648</v>
      </c>
      <c r="C17" s="103" t="str">
        <f>Modelo_Muestreo!$F$5</f>
        <v>A319-112</v>
      </c>
      <c r="D17" s="103" t="str">
        <f>Aerolinea_Muestreo!$F$4</f>
        <v>Latam Airlines</v>
      </c>
      <c r="E17" s="16" t="str">
        <f t="shared" si="0"/>
        <v>CC-CPF A319-112</v>
      </c>
    </row>
    <row r="18" spans="1:5">
      <c r="A18" s="117" t="s">
        <v>487</v>
      </c>
      <c r="B18" s="108" t="s">
        <v>649</v>
      </c>
      <c r="C18" s="103" t="str">
        <f>Modelo_Muestreo!$F$5</f>
        <v>A319-112</v>
      </c>
      <c r="D18" s="103" t="str">
        <f>Aerolinea_Muestreo!$F$4</f>
        <v>Latam Airlines</v>
      </c>
      <c r="E18" s="16" t="str">
        <f t="shared" si="0"/>
        <v>CC-CPE A319-112</v>
      </c>
    </row>
    <row r="19" spans="1:5">
      <c r="A19" s="117" t="s">
        <v>491</v>
      </c>
      <c r="B19" s="108" t="s">
        <v>650</v>
      </c>
      <c r="C19" s="103" t="str">
        <f>Modelo_Muestreo!$F$6</f>
        <v>A320-112</v>
      </c>
      <c r="D19" s="103" t="str">
        <f>Aerolinea_Muestreo!$F$4</f>
        <v>Latam Airlines</v>
      </c>
      <c r="E19" s="16" t="str">
        <f t="shared" si="0"/>
        <v>CC-BAC A320-112</v>
      </c>
    </row>
    <row r="20" spans="1:5">
      <c r="A20" s="117" t="s">
        <v>495</v>
      </c>
      <c r="B20" s="108" t="s">
        <v>651</v>
      </c>
      <c r="C20" s="103" t="str">
        <f>Modelo_Muestreo!$F$6</f>
        <v>A320-112</v>
      </c>
      <c r="D20" s="103" t="str">
        <f>Aerolinea_Muestreo!$F$4</f>
        <v>Latam Airlines</v>
      </c>
      <c r="E20" s="16" t="str">
        <f t="shared" si="0"/>
        <v>CC-BAF A320-112</v>
      </c>
    </row>
    <row r="21" spans="1:5">
      <c r="A21" s="117" t="s">
        <v>499</v>
      </c>
      <c r="B21" s="108" t="s">
        <v>652</v>
      </c>
      <c r="C21" s="103" t="str">
        <f>Modelo_Muestreo!$F$6</f>
        <v>A320-112</v>
      </c>
      <c r="D21" s="103" t="str">
        <f>Aerolinea_Muestreo!$F$4</f>
        <v>Latam Airlines</v>
      </c>
      <c r="E21" s="16" t="str">
        <f t="shared" si="0"/>
        <v>CC-BFC A320-112</v>
      </c>
    </row>
    <row r="22" spans="1:5">
      <c r="A22" s="117" t="s">
        <v>503</v>
      </c>
      <c r="B22" s="108" t="s">
        <v>653</v>
      </c>
      <c r="C22" s="103" t="str">
        <f>Modelo_Muestreo!$F$6</f>
        <v>A320-112</v>
      </c>
      <c r="D22" s="103" t="str">
        <f>Aerolinea_Muestreo!$F$4</f>
        <v>Latam Airlines</v>
      </c>
      <c r="E22" s="16" t="str">
        <f t="shared" si="0"/>
        <v>CC-BAD A320-112</v>
      </c>
    </row>
    <row r="23" spans="1:5">
      <c r="A23" s="117" t="s">
        <v>507</v>
      </c>
      <c r="B23" s="108" t="s">
        <v>654</v>
      </c>
      <c r="C23" s="103" t="str">
        <f>Modelo_Muestreo!$F$6</f>
        <v>A320-112</v>
      </c>
      <c r="D23" s="103" t="str">
        <f>Aerolinea_Muestreo!$F$4</f>
        <v>Latam Airlines</v>
      </c>
      <c r="E23" s="16" t="str">
        <f t="shared" si="0"/>
        <v>CC-CQN A320-112</v>
      </c>
    </row>
  </sheetData>
  <phoneticPr fontId="10" type="noConversion"/>
  <hyperlinks>
    <hyperlink ref="C1" location="Avion_Caracterización!A1" display="Caracterización objeto &gt;&gt;" xr:uid="{725A16A5-B527-4044-B4D1-2DD1E354200E}"/>
    <hyperlink ref="A1" location="'Modelo Dominio Anémico'!A1" display="&lt;&lt; Modelo de dominio &gt;&gt;" xr:uid="{48AEF48C-D932-41B2-9701-7406243A4651}"/>
    <hyperlink ref="B1" location="'Objetos Dominio'!A1" display="&lt;&lt; Objetos de dominio" xr:uid="{BCAA65A6-41AE-41C0-BC3E-6DD2787422AE}"/>
    <hyperlink ref="C3" location="Modelo_Muestreo!A1" display="Modelo" xr:uid="{D1FCF5FB-B867-4A4E-BE5F-2E1A25FB1D18}"/>
    <hyperlink ref="C4" location="Modelo_Muestreo!A6" display="Modelo_Muestreo!A6" xr:uid="{DA00BD08-0F89-4390-BD49-D0FFBBF55430}"/>
    <hyperlink ref="C19" location="Modelo_Muestreo!A6" display="Modelo_Muestreo!A6" xr:uid="{26422D68-CD9A-42A7-8E21-7BFD77BFA56F}"/>
    <hyperlink ref="C10" location="Modelo_Muestreo!A5" display="Modelo_Muestreo!A5" xr:uid="{1698D5F5-966C-4B67-A716-3D602B3C8CCF}"/>
    <hyperlink ref="D4" location="Aerolinea_Muestreo!A4" display="Aerolinea_Muestreo!A4" xr:uid="{2844A036-8A4E-4B14-9F92-57FFD33AEA60}"/>
    <hyperlink ref="C5:C9" location="Modelo_Muestreo!A6" display="Modelo_Muestreo!A6" xr:uid="{1D815756-7455-4FE8-B289-B8AC864D686A}"/>
    <hyperlink ref="C11:C18" location="Modelo_Muestreo!A5" display="Modelo_Muestreo!A5" xr:uid="{C94DEE4C-6644-4A09-BF25-06BF67882C96}"/>
    <hyperlink ref="C20:C23" location="Modelo_Muestreo!A6" display="Modelo_Muestreo!A6" xr:uid="{B7DC1C50-A1D9-425C-B82A-395B00B9E96A}"/>
    <hyperlink ref="D5:D23" location="Aerolinea_Muestreo!A4" display="Aerolinea_Muestreo!A4" xr:uid="{A079890D-F46D-4D06-8FB5-421392328AEC}"/>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B8CA-28AC-4F6F-9A0E-72D7694B802E}">
  <sheetPr codeName="Hoja33">
    <tabColor theme="7"/>
  </sheetPr>
  <dimension ref="A1:V36"/>
  <sheetViews>
    <sheetView workbookViewId="0">
      <pane ySplit="6" topLeftCell="A7" activePane="bottomLeft" state="frozen"/>
      <selection pane="bottomLeft" activeCell="I28" sqref="I28:I29"/>
      <selection activeCell="A7" sqref="A7"/>
    </sheetView>
  </sheetViews>
  <sheetFormatPr defaultColWidth="10.85546875" defaultRowHeight="14.45"/>
  <cols>
    <col min="1" max="1" width="37" style="4" customWidth="1"/>
    <col min="2" max="2" width="47.5703125" style="4" customWidth="1"/>
    <col min="3" max="4" width="38.5703125" style="4" customWidth="1"/>
    <col min="5" max="5" width="22.7109375" style="4" customWidth="1"/>
    <col min="6" max="6" width="20.140625" style="4" bestFit="1" customWidth="1"/>
    <col min="7" max="7" width="17.85546875" style="4" customWidth="1"/>
    <col min="8" max="8" width="32.42578125" style="4" bestFit="1" customWidth="1"/>
    <col min="9" max="9" width="29.42578125" style="4" bestFit="1" customWidth="1"/>
    <col min="10" max="10" width="40.5703125" style="4" customWidth="1"/>
    <col min="11" max="11" width="33.42578125" style="4" customWidth="1"/>
    <col min="12" max="12" width="11.42578125" style="4" bestFit="1"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53.5703125" style="4" customWidth="1"/>
    <col min="23" max="16384" width="10.85546875" style="4"/>
  </cols>
  <sheetData>
    <row r="1" spans="1:22" customFormat="1">
      <c r="A1" s="58" t="s">
        <v>46</v>
      </c>
      <c r="B1" s="69" t="s">
        <v>74</v>
      </c>
      <c r="C1" s="69" t="s">
        <v>75</v>
      </c>
    </row>
    <row r="2" spans="1:22" s="60" customFormat="1">
      <c r="A2" s="59" t="str">
        <f>'Objetos Dominio'!$A$2</f>
        <v>Nombre</v>
      </c>
      <c r="B2" s="730" t="str">
        <f>'Objetos Dominio'!A14</f>
        <v>Modelo</v>
      </c>
      <c r="C2" s="730"/>
      <c r="D2" s="730"/>
      <c r="E2" s="730"/>
      <c r="F2" s="730"/>
      <c r="G2" s="730"/>
      <c r="H2" s="730"/>
      <c r="I2" s="730"/>
      <c r="J2" s="730"/>
      <c r="K2" s="730"/>
      <c r="L2" s="730"/>
      <c r="M2" s="730"/>
      <c r="N2" s="730"/>
      <c r="O2" s="730"/>
      <c r="P2" s="730"/>
      <c r="Q2" s="730"/>
      <c r="R2" s="730"/>
      <c r="S2" s="730"/>
      <c r="T2" s="730"/>
      <c r="U2" s="730"/>
    </row>
    <row r="3" spans="1:22" s="60" customFormat="1" ht="14.1" customHeight="1">
      <c r="A3" s="59" t="str">
        <f>'Objetos Dominio'!$B$2</f>
        <v>Tipo</v>
      </c>
      <c r="B3" s="731" t="str">
        <f>'Objetos Dominio'!B14</f>
        <v>Referenciado</v>
      </c>
      <c r="C3" s="731"/>
      <c r="D3" s="731"/>
      <c r="E3" s="731"/>
      <c r="F3" s="731"/>
      <c r="G3" s="731"/>
      <c r="H3" s="731"/>
      <c r="I3" s="731"/>
      <c r="J3" s="731"/>
      <c r="K3" s="731"/>
      <c r="L3" s="731"/>
      <c r="M3" s="731"/>
      <c r="N3" s="731"/>
      <c r="O3" s="731"/>
      <c r="P3" s="731"/>
      <c r="Q3" s="731"/>
      <c r="R3" s="731"/>
      <c r="S3" s="731"/>
      <c r="T3" s="731"/>
      <c r="U3" s="731"/>
    </row>
    <row r="4" spans="1:22" s="60" customFormat="1" ht="14.1" customHeight="1">
      <c r="A4" s="59" t="str">
        <f>'Objetos Dominio'!$C$2</f>
        <v>Contexto Origen</v>
      </c>
      <c r="B4" s="731">
        <f>'Objetos Dominio'!C14</f>
        <v>0</v>
      </c>
      <c r="C4" s="731"/>
      <c r="D4" s="731"/>
      <c r="E4" s="731"/>
      <c r="F4" s="731"/>
      <c r="G4" s="731"/>
      <c r="H4" s="731"/>
      <c r="I4" s="731"/>
      <c r="J4" s="731"/>
      <c r="K4" s="731"/>
      <c r="L4" s="731"/>
      <c r="M4" s="731"/>
      <c r="N4" s="731"/>
      <c r="O4" s="731"/>
      <c r="P4" s="731"/>
      <c r="Q4" s="731"/>
      <c r="R4" s="731"/>
      <c r="S4" s="731"/>
      <c r="T4" s="731"/>
      <c r="U4" s="731"/>
    </row>
    <row r="5" spans="1:22" s="60" customFormat="1" ht="14.1" customHeight="1">
      <c r="A5" s="94" t="str">
        <f>'Objetos Dominio'!$D$2</f>
        <v>Descripción</v>
      </c>
      <c r="B5" s="732" t="str">
        <f>'Objetos Dominio'!D14</f>
        <v>Objeto de dominio que representa el tipo motor y nombre  de la aeronave</v>
      </c>
      <c r="C5" s="732"/>
      <c r="D5" s="732"/>
      <c r="E5" s="732"/>
      <c r="F5" s="732"/>
      <c r="G5" s="732"/>
      <c r="H5" s="732"/>
      <c r="I5" s="732"/>
      <c r="J5" s="732"/>
      <c r="K5" s="732"/>
      <c r="L5" s="732"/>
      <c r="M5" s="732"/>
      <c r="N5" s="732"/>
      <c r="O5" s="732"/>
      <c r="P5" s="732"/>
      <c r="Q5" s="732"/>
      <c r="R5" s="732"/>
      <c r="S5" s="732"/>
      <c r="T5" s="732"/>
      <c r="U5" s="732"/>
    </row>
    <row r="6" spans="1:22" s="60" customFormat="1" ht="15">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605" t="str">
        <f>A28</f>
        <v>Consultar  Modelo Aeronave</v>
      </c>
    </row>
    <row r="7" spans="1:22" s="60" customFormat="1" ht="42.95" customHeight="1">
      <c r="A7" s="63" t="str">
        <f>Modelo_Muestreo!$A$3</f>
        <v>Id</v>
      </c>
      <c r="B7" s="64" t="s">
        <v>17</v>
      </c>
      <c r="C7" s="64">
        <v>36</v>
      </c>
      <c r="D7" s="64">
        <v>36</v>
      </c>
      <c r="E7" s="64"/>
      <c r="F7" s="64"/>
      <c r="G7" s="64"/>
      <c r="H7" s="64"/>
      <c r="I7" s="64"/>
      <c r="J7" s="67" t="s">
        <v>607</v>
      </c>
      <c r="K7" s="64"/>
      <c r="L7" s="65"/>
      <c r="M7" s="66" t="s">
        <v>9</v>
      </c>
      <c r="N7" s="66" t="s">
        <v>9</v>
      </c>
      <c r="O7" s="66" t="s">
        <v>9</v>
      </c>
      <c r="P7" s="66" t="s">
        <v>14</v>
      </c>
      <c r="Q7" s="66" t="s">
        <v>9</v>
      </c>
      <c r="R7" s="66" t="s">
        <v>14</v>
      </c>
      <c r="S7" s="66" t="s">
        <v>14</v>
      </c>
      <c r="T7" s="66" t="s">
        <v>9</v>
      </c>
      <c r="U7" s="98" t="str">
        <f>Modelo_Muestreo!$A$2</f>
        <v>Corresponde a un identificador único del modelo del avión dentro del objeto de dominio.</v>
      </c>
      <c r="V7" s="584" t="s">
        <v>97</v>
      </c>
    </row>
    <row r="8" spans="1:22" s="60" customFormat="1" ht="63" customHeight="1" thickBot="1">
      <c r="A8" s="63" t="str">
        <f>Modelo_Muestreo!$B$3</f>
        <v>Tipo</v>
      </c>
      <c r="B8" s="97" t="s">
        <v>0</v>
      </c>
      <c r="C8" s="64"/>
      <c r="D8" s="64"/>
      <c r="E8" s="64"/>
      <c r="F8" s="64"/>
      <c r="G8" s="64"/>
      <c r="H8" s="64"/>
      <c r="I8" s="64"/>
      <c r="J8" s="64"/>
      <c r="K8" s="64"/>
      <c r="L8" s="65"/>
      <c r="M8" s="66" t="s">
        <v>14</v>
      </c>
      <c r="N8" s="66" t="s">
        <v>14</v>
      </c>
      <c r="O8" s="66" t="s">
        <v>14</v>
      </c>
      <c r="P8" s="66" t="s">
        <v>14</v>
      </c>
      <c r="Q8" s="66" t="s">
        <v>9</v>
      </c>
      <c r="R8" s="66" t="s">
        <v>9</v>
      </c>
      <c r="S8" s="66" t="s">
        <v>14</v>
      </c>
      <c r="T8" s="66" t="s">
        <v>14</v>
      </c>
      <c r="U8" s="98" t="str">
        <f>Modelo_Muestreo!$C$2</f>
        <v>Corresponde al tipo de motor al cual estará asociado el modelo que puede tener y el cual puede ser gestionado en cualquier momento.</v>
      </c>
      <c r="V8" s="584" t="s">
        <v>655</v>
      </c>
    </row>
    <row r="9" spans="1:22" s="60" customFormat="1" ht="63" customHeight="1" thickBot="1">
      <c r="A9" s="88" t="str">
        <f>Modelo_Muestreo!$C$3</f>
        <v>Motor</v>
      </c>
      <c r="B9" s="97" t="s">
        <v>37</v>
      </c>
      <c r="C9" s="89"/>
      <c r="D9" s="89"/>
      <c r="E9" s="89"/>
      <c r="F9" s="89"/>
      <c r="G9" s="89"/>
      <c r="H9" s="89"/>
      <c r="I9" s="89"/>
      <c r="J9" s="89"/>
      <c r="K9" s="89"/>
      <c r="L9" s="90"/>
      <c r="M9" s="91" t="s">
        <v>14</v>
      </c>
      <c r="N9" s="91" t="s">
        <v>14</v>
      </c>
      <c r="O9" s="91" t="s">
        <v>14</v>
      </c>
      <c r="P9" s="91" t="s">
        <v>14</v>
      </c>
      <c r="Q9" s="91" t="s">
        <v>9</v>
      </c>
      <c r="R9" s="91" t="s">
        <v>9</v>
      </c>
      <c r="S9" s="91" t="s">
        <v>14</v>
      </c>
      <c r="T9" s="91" t="s">
        <v>14</v>
      </c>
      <c r="U9" s="99" t="str">
        <f>Modelo_Muestreo!$B$2</f>
        <v>Corresponde al tipo de avión asociado ,el cual puede ser gestionado en cualquier momento.</v>
      </c>
      <c r="V9" s="584" t="s">
        <v>656</v>
      </c>
    </row>
    <row r="10" spans="1:22" s="3" customFormat="1" ht="63" customHeight="1">
      <c r="A10" s="88" t="str">
        <f>Modelo_Muestreo!$D$3</f>
        <v>Nombre</v>
      </c>
      <c r="B10" s="148" t="s">
        <v>17</v>
      </c>
      <c r="C10" s="89">
        <v>8</v>
      </c>
      <c r="D10" s="89">
        <v>8</v>
      </c>
      <c r="E10" s="89"/>
      <c r="F10" s="89"/>
      <c r="G10" s="89"/>
      <c r="H10" s="89"/>
      <c r="I10" s="89"/>
      <c r="J10" s="141" t="s">
        <v>657</v>
      </c>
      <c r="K10" s="89"/>
      <c r="L10" s="90"/>
      <c r="M10" s="91" t="s">
        <v>14</v>
      </c>
      <c r="N10" s="91" t="s">
        <v>14</v>
      </c>
      <c r="O10" s="91" t="s">
        <v>14</v>
      </c>
      <c r="P10" s="91" t="s">
        <v>14</v>
      </c>
      <c r="Q10" s="91" t="s">
        <v>9</v>
      </c>
      <c r="R10" s="91" t="s">
        <v>9</v>
      </c>
      <c r="S10" s="91" t="s">
        <v>14</v>
      </c>
      <c r="T10" s="91" t="s">
        <v>14</v>
      </c>
      <c r="U10" s="99" t="str">
        <f>Modelo_Muestreo!$B$2</f>
        <v>Corresponde al tipo de avión asociado ,el cual puede ser gestionado en cualquier momento.</v>
      </c>
      <c r="V10" s="584" t="s">
        <v>167</v>
      </c>
    </row>
    <row r="11" spans="1:22" s="60" customFormat="1"/>
    <row r="12" spans="1:22" s="60" customFormat="1" ht="15" thickBot="1"/>
    <row r="13" spans="1:22" s="60" customFormat="1" ht="39" customHeight="1">
      <c r="A13" s="733" t="s">
        <v>106</v>
      </c>
      <c r="B13" s="734"/>
      <c r="C13" s="735"/>
    </row>
    <row r="14" spans="1:22" s="60" customFormat="1" ht="39" customHeight="1">
      <c r="A14" s="70" t="s">
        <v>107</v>
      </c>
      <c r="B14" s="71" t="s">
        <v>49</v>
      </c>
      <c r="C14" s="72" t="s">
        <v>108</v>
      </c>
    </row>
    <row r="15" spans="1:22" ht="26.1">
      <c r="A15" s="84" t="s">
        <v>658</v>
      </c>
      <c r="B15" s="83" t="str">
        <f>Modelo_Muestreo!$E$2</f>
        <v>Un tipo de motor no puede estar asociado al mismo tipo de avión</v>
      </c>
      <c r="C15" s="85" t="str">
        <f>A8</f>
        <v>Tipo</v>
      </c>
    </row>
    <row r="16" spans="1:22" ht="26.45" thickBot="1">
      <c r="A16" s="73" t="s">
        <v>659</v>
      </c>
      <c r="B16" s="74" t="str">
        <f>Modelo_Muestreo!F2</f>
        <v>Un nombre de modelo no puede estar más de una vez asociado al mismo avión.</v>
      </c>
      <c r="C16" s="75" t="str">
        <f>A9</f>
        <v>Motor</v>
      </c>
    </row>
    <row r="20" spans="1:11" ht="15"/>
    <row r="23" spans="1:11" ht="15"/>
    <row r="26" spans="1:11">
      <c r="A26" s="258" t="s">
        <v>111</v>
      </c>
      <c r="B26" s="259" t="s">
        <v>49</v>
      </c>
      <c r="C26" s="260"/>
      <c r="D26" s="261" t="s">
        <v>112</v>
      </c>
      <c r="E26" s="262"/>
      <c r="F26" s="260"/>
      <c r="G26" s="261" t="s">
        <v>113</v>
      </c>
      <c r="H26" s="798" t="s">
        <v>114</v>
      </c>
      <c r="I26" s="799"/>
      <c r="J26" s="800" t="s">
        <v>115</v>
      </c>
      <c r="K26" s="801"/>
    </row>
    <row r="27" spans="1:11" ht="15">
      <c r="A27" s="263"/>
      <c r="B27" s="264"/>
      <c r="C27" s="260" t="s">
        <v>116</v>
      </c>
      <c r="D27" s="265" t="s">
        <v>117</v>
      </c>
      <c r="E27" s="266" t="s">
        <v>49</v>
      </c>
      <c r="F27" s="267" t="s">
        <v>77</v>
      </c>
      <c r="G27" s="266" t="s">
        <v>49</v>
      </c>
      <c r="H27" s="267" t="s">
        <v>118</v>
      </c>
      <c r="I27" s="262" t="s">
        <v>49</v>
      </c>
      <c r="J27" s="307" t="s">
        <v>119</v>
      </c>
      <c r="K27" s="267" t="s">
        <v>120</v>
      </c>
    </row>
    <row r="28" spans="1:11" ht="104.25" customHeight="1">
      <c r="A28" s="810" t="s">
        <v>660</v>
      </c>
      <c r="B28" s="811" t="s">
        <v>661</v>
      </c>
      <c r="C28" s="812" t="s">
        <v>123</v>
      </c>
      <c r="D28" s="804" t="s">
        <v>41</v>
      </c>
      <c r="E28" s="268" t="s">
        <v>124</v>
      </c>
      <c r="F28" s="806" t="s">
        <v>662</v>
      </c>
      <c r="G28" s="269" t="s">
        <v>663</v>
      </c>
      <c r="H28" s="764" t="s">
        <v>664</v>
      </c>
      <c r="I28" s="804" t="s">
        <v>128</v>
      </c>
      <c r="J28" s="776" t="s">
        <v>129</v>
      </c>
      <c r="K28" s="806" t="s">
        <v>130</v>
      </c>
    </row>
    <row r="29" spans="1:11" ht="17.25" customHeight="1">
      <c r="A29" s="810"/>
      <c r="B29" s="811"/>
      <c r="C29" s="813"/>
      <c r="D29" s="805"/>
      <c r="E29" s="271"/>
      <c r="F29" s="807"/>
      <c r="G29" s="272"/>
      <c r="H29" s="772"/>
      <c r="I29" s="805"/>
      <c r="J29" s="777"/>
      <c r="K29" s="807"/>
    </row>
    <row r="30" spans="1:11" ht="15"/>
    <row r="33" ht="15"/>
    <row r="34" ht="15"/>
    <row r="35" ht="15"/>
    <row r="36" ht="15"/>
  </sheetData>
  <mergeCells count="16">
    <mergeCell ref="I28:I29"/>
    <mergeCell ref="J28:J29"/>
    <mergeCell ref="K28:K29"/>
    <mergeCell ref="F28:F29"/>
    <mergeCell ref="A28:A29"/>
    <mergeCell ref="B28:B29"/>
    <mergeCell ref="C28:C29"/>
    <mergeCell ref="D28:D29"/>
    <mergeCell ref="H28:H29"/>
    <mergeCell ref="H26:I26"/>
    <mergeCell ref="J26:K26"/>
    <mergeCell ref="B2:U2"/>
    <mergeCell ref="B3:U3"/>
    <mergeCell ref="B4:U4"/>
    <mergeCell ref="B5:U5"/>
    <mergeCell ref="A13:C13"/>
  </mergeCells>
  <phoneticPr fontId="10" type="noConversion"/>
  <hyperlinks>
    <hyperlink ref="C1" location="Modelo_Muestreo!A1" display="&lt;&lt; Muestreo Datos" xr:uid="{2A49E585-632C-4AAD-8C01-C949ADB1A7BB}"/>
    <hyperlink ref="A1" location="'Modelo Dominio Anémico'!A1" display="&lt;&lt; Modelo de dominio &gt;&gt;" xr:uid="{0911B4B0-6BDE-4855-8809-C87AE11090BD}"/>
    <hyperlink ref="B1" location="'Objetos Dominio'!A1" display="&lt;&lt; Objetos de dominio" xr:uid="{5B28C082-7BED-4C95-AD01-97E4FFABF77E}"/>
    <hyperlink ref="C15" location="Modelo_Caracterización!A8" display="Modelo_Caracterización!A8" xr:uid="{CFE99DF1-FB04-48B6-8B4C-8965ABD8CA81}"/>
    <hyperlink ref="B9" location="Tipo_Caracterización!A1" display="Tipo" xr:uid="{AEC5F563-990F-4502-A911-7AFEE9C39661}"/>
    <hyperlink ref="C16" location="Modelo_Caracterización!A9" display="Modelo_Caracterización!A9" xr:uid="{21E71FB4-DDA2-4102-AF5C-515CAE5026CC}"/>
    <hyperlink ref="B10" location="Tipo_Caracterización!A1" display="Tipo" xr:uid="{C4753086-D559-4973-8D40-586EE1D78483}"/>
    <hyperlink ref="B8" location="Tipo_Caracterización!A1" display="Tipo" xr:uid="{249CE31E-3077-4DFB-8A50-9522D84A40A7}"/>
    <hyperlink ref="V6" location="Objeto Dominio 2!A16" display="Registrar Información  Horario Sede" xr:uid="{169074F4-2A23-44B4-88A9-FADF5F467D32}"/>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8E20EF0D-8106-4354-9DAE-69E25E73C1DF}">
          <x14:formula1>
            <xm:f>Valores!$D$2:$D$3</xm:f>
          </x14:formula1>
          <xm:sqref>M7:T10</xm:sqref>
        </x14:dataValidation>
        <x14:dataValidation type="list" allowBlank="1" showInputMessage="1" showErrorMessage="1" xr:uid="{B87B0D2C-0CFC-426A-B7BC-FC06797F4200}">
          <x14:formula1>
            <xm:f>Valores!$F$2:$F$4</xm:f>
          </x14:formula1>
          <xm:sqref>G7</xm:sqref>
        </x14:dataValidation>
        <x14:dataValidation type="list" allowBlank="1" showInputMessage="1" showErrorMessage="1" xr:uid="{EA4D293A-560E-466D-B951-78DDC9A71D67}">
          <x14:formula1>
            <xm:f>Valores!$E$2:$E$23</xm:f>
          </x14:formula1>
          <xm:sqref>B7</xm:sqref>
        </x14:dataValidation>
        <x14:dataValidation type="list" allowBlank="1" showInputMessage="1" showErrorMessage="1" xr:uid="{46070FBA-7E06-4C8A-8146-3B7E4057DCAC}">
          <x14:formula1>
            <xm:f>Valores!$E$2:$E$29</xm:f>
          </x14:formula1>
          <xm:sqref>B8:B10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8D68C-8A9F-4F5E-9147-E72D09243115}">
  <sheetPr codeName="Hoja16">
    <tabColor theme="7"/>
  </sheetPr>
  <dimension ref="A1:F7"/>
  <sheetViews>
    <sheetView workbookViewId="0">
      <selection activeCell="E4" sqref="E4"/>
    </sheetView>
  </sheetViews>
  <sheetFormatPr defaultColWidth="10.85546875" defaultRowHeight="14.45"/>
  <cols>
    <col min="1" max="1" width="40.7109375" style="4" customWidth="1"/>
    <col min="2" max="2" width="41" style="4" bestFit="1" customWidth="1"/>
    <col min="3" max="3" width="32" style="4" bestFit="1" customWidth="1"/>
    <col min="4" max="4" width="24.85546875" style="4" customWidth="1"/>
    <col min="5" max="5" width="24.28515625" style="4" customWidth="1"/>
    <col min="6" max="6" width="23.28515625" style="4" customWidth="1"/>
    <col min="7" max="16384" width="10.85546875" style="4"/>
  </cols>
  <sheetData>
    <row r="1" spans="1:6" customFormat="1" ht="15" thickBot="1">
      <c r="A1" s="58" t="s">
        <v>46</v>
      </c>
      <c r="B1" s="152" t="s">
        <v>74</v>
      </c>
      <c r="C1" s="69" t="s">
        <v>145</v>
      </c>
    </row>
    <row r="2" spans="1:6" s="1" customFormat="1" ht="34.5">
      <c r="A2" s="22" t="s">
        <v>665</v>
      </c>
      <c r="B2" s="23" t="s">
        <v>666</v>
      </c>
      <c r="C2" s="23" t="s">
        <v>667</v>
      </c>
      <c r="D2" s="9" t="s">
        <v>668</v>
      </c>
      <c r="E2" s="24" t="s">
        <v>669</v>
      </c>
      <c r="F2" s="24" t="s">
        <v>670</v>
      </c>
    </row>
    <row r="3" spans="1:6" s="28" customFormat="1">
      <c r="A3" s="25" t="s">
        <v>133</v>
      </c>
      <c r="B3" s="101" t="s">
        <v>0</v>
      </c>
      <c r="C3" s="101" t="s">
        <v>37</v>
      </c>
      <c r="D3" s="5" t="s">
        <v>47</v>
      </c>
      <c r="E3" s="20" t="s">
        <v>153</v>
      </c>
      <c r="F3" s="20" t="s">
        <v>154</v>
      </c>
    </row>
    <row r="4" spans="1:6">
      <c r="A4" s="12" t="s">
        <v>159</v>
      </c>
      <c r="B4" s="34" t="str">
        <f>Familia_Muestreo!D4</f>
        <v>A318-Airbus</v>
      </c>
      <c r="C4" s="48" t="s">
        <v>671</v>
      </c>
      <c r="D4" s="106" t="s">
        <v>672</v>
      </c>
      <c r="E4" s="20" t="str">
        <f>B4&amp;"-"&amp;C4</f>
        <v>A318-Airbus-CFM</v>
      </c>
      <c r="F4" s="20" t="str">
        <f>D4</f>
        <v>A318-112</v>
      </c>
    </row>
    <row r="5" spans="1:6">
      <c r="A5" s="12" t="s">
        <v>633</v>
      </c>
      <c r="B5" s="34" t="str">
        <f>Familia_Muestreo!$D$5</f>
        <v>A319-Airbus</v>
      </c>
      <c r="C5" s="48" t="s">
        <v>673</v>
      </c>
      <c r="D5" s="6" t="s">
        <v>674</v>
      </c>
      <c r="E5" s="20" t="str">
        <f t="shared" ref="E5:E7" si="0">B5&amp;"-"&amp;C5</f>
        <v>A319-Airbus-IAE</v>
      </c>
      <c r="F5" s="20" t="str">
        <f t="shared" ref="F5:F7" si="1">D5</f>
        <v>A319-112</v>
      </c>
    </row>
    <row r="6" spans="1:6">
      <c r="A6" s="47" t="s">
        <v>635</v>
      </c>
      <c r="B6" s="34" t="str">
        <f>Familia_Muestreo!$D$6</f>
        <v>A320-Airbus</v>
      </c>
      <c r="C6" s="48" t="s">
        <v>671</v>
      </c>
      <c r="D6" s="6" t="s">
        <v>675</v>
      </c>
      <c r="E6" s="20" t="str">
        <f t="shared" si="0"/>
        <v>A320-Airbus-CFM</v>
      </c>
      <c r="F6" s="20" t="str">
        <f t="shared" si="1"/>
        <v>A320-112</v>
      </c>
    </row>
    <row r="7" spans="1:6" ht="15" thickBot="1">
      <c r="A7" s="13" t="s">
        <v>676</v>
      </c>
      <c r="B7" s="35" t="str">
        <f>Familia_Muestreo!D7</f>
        <v>A321-Airbus</v>
      </c>
      <c r="C7" s="49" t="s">
        <v>673</v>
      </c>
      <c r="D7" s="6" t="s">
        <v>677</v>
      </c>
      <c r="E7" s="20" t="str">
        <f t="shared" si="0"/>
        <v>A321-Airbus-IAE</v>
      </c>
      <c r="F7" s="20" t="str">
        <f t="shared" si="1"/>
        <v>A321-112</v>
      </c>
    </row>
  </sheetData>
  <hyperlinks>
    <hyperlink ref="C4" location="Motor_Muestreo!A4" display="CFM" xr:uid="{59B69E6B-2783-4BDB-8133-F368205E30AF}"/>
    <hyperlink ref="C3" location="Motor_Muestreo!A1" display="Motor" xr:uid="{33F09D99-6AB1-4013-94AF-D1CC11F19CD2}"/>
    <hyperlink ref="B3" location="Tipo_Muestreo!A1" display="Tipo" xr:uid="{41C3A513-3424-48D7-9145-5D2E5E48FA2F}"/>
    <hyperlink ref="B6" location="Tipo_Muestreo!A6" display="Tipo_Muestreo!A6" xr:uid="{FB0787F5-D3AA-477E-804C-3DDE51CD25A3}"/>
    <hyperlink ref="B4" location="Tipo_Muestreo!A4" display="Tipo_Muestreo!A4" xr:uid="{68A4BC7D-D63F-46A1-BE2F-4E435336C753}"/>
    <hyperlink ref="C1" location="Modelo_Caracterización!A1" display="Caracterización objeto &gt;&gt;" xr:uid="{EDFC8646-6556-4F33-9A27-5511475BA4D5}"/>
    <hyperlink ref="A1" location="'Modelo Dominio Anémico'!A1" display="&lt;&lt; Modelo de dominio &gt;&gt;" xr:uid="{0F27DE88-9912-40B2-9378-9B35B48EBF99}"/>
    <hyperlink ref="B1" location="'Objetos Dominio'!A1" display="&lt;&lt; Objetos de dominio" xr:uid="{97417025-9908-43F0-8CAB-7DA2FCA63C6B}"/>
    <hyperlink ref="B5" location="Tipo_Muestreo!A5" display="Tipo_Muestreo!A5" xr:uid="{10BA488E-E9E1-4E07-978C-2496CAFE4B0F}"/>
    <hyperlink ref="C5" location="Motor_Muestreo!A5" display="IAE" xr:uid="{BF61DC85-40BD-42FD-A798-82F0F576F46E}"/>
    <hyperlink ref="C6" location="Motor_Muestreo!A4" display="CFM" xr:uid="{0B2EBCAA-620B-4345-A44A-AEC8B3764F76}"/>
    <hyperlink ref="C7" location="Motor_Muestreo!A5" display="IAE" xr:uid="{9BFC8D92-5E5D-4BBF-ADAD-F104AB2B74E0}"/>
    <hyperlink ref="B7" location="Tipo_Muestreo!A7" display="Tipo_Muestreo!A7" xr:uid="{C8BB9057-43FD-4E33-ADD3-8CCA78FFD9CB}"/>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49BBA-C886-4FDE-96E0-B2387EEA5E46}">
  <sheetPr codeName="Hoja21">
    <tabColor rgb="FF0070C0"/>
  </sheetPr>
  <dimension ref="A1:V32"/>
  <sheetViews>
    <sheetView workbookViewId="0">
      <pane ySplit="6" topLeftCell="A7" activePane="bottomLeft" state="frozen"/>
      <selection pane="bottomLeft" activeCell="I22" sqref="I22"/>
      <selection activeCell="A7" sqref="A7"/>
    </sheetView>
  </sheetViews>
  <sheetFormatPr defaultColWidth="10.85546875" defaultRowHeight="14.45"/>
  <cols>
    <col min="1" max="4" width="38.5703125" style="4" customWidth="1"/>
    <col min="5" max="5" width="18" style="4" customWidth="1"/>
    <col min="6" max="6" width="20.140625" style="4" bestFit="1" customWidth="1"/>
    <col min="7" max="7" width="18.140625" style="4" customWidth="1"/>
    <col min="8" max="8" width="32.42578125" style="4" bestFit="1" customWidth="1"/>
    <col min="9" max="9" width="29.42578125" style="4" bestFit="1" customWidth="1"/>
    <col min="10" max="10" width="40.5703125" style="4" customWidth="1"/>
    <col min="11" max="11" width="33.42578125" style="4" customWidth="1"/>
    <col min="12" max="12" width="14.42578125" style="4" bestFit="1"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43.5703125" style="4" customWidth="1"/>
    <col min="23" max="16384" width="10.85546875" style="4"/>
  </cols>
  <sheetData>
    <row r="1" spans="1:22" customFormat="1">
      <c r="A1" s="58" t="s">
        <v>46</v>
      </c>
      <c r="B1" s="69" t="s">
        <v>74</v>
      </c>
      <c r="C1" s="69" t="s">
        <v>75</v>
      </c>
    </row>
    <row r="2" spans="1:22" s="60" customFormat="1">
      <c r="A2" s="59" t="str">
        <f>'Objetos Dominio'!$A$2</f>
        <v>Nombre</v>
      </c>
      <c r="B2" s="730" t="str">
        <f>'Objetos Dominio'!$A$15</f>
        <v>Motor</v>
      </c>
      <c r="C2" s="730"/>
      <c r="D2" s="730"/>
      <c r="E2" s="730"/>
      <c r="F2" s="730"/>
      <c r="G2" s="730"/>
      <c r="H2" s="730"/>
      <c r="I2" s="730"/>
      <c r="J2" s="730"/>
      <c r="K2" s="730"/>
      <c r="L2" s="730"/>
      <c r="M2" s="730"/>
      <c r="N2" s="730"/>
      <c r="O2" s="730"/>
      <c r="P2" s="730"/>
      <c r="Q2" s="730"/>
      <c r="R2" s="730"/>
      <c r="S2" s="730"/>
      <c r="T2" s="730"/>
      <c r="U2" s="730"/>
    </row>
    <row r="3" spans="1:22" s="60" customFormat="1" ht="14.1" customHeight="1">
      <c r="A3" s="59" t="str">
        <f>'Objetos Dominio'!$B$2</f>
        <v>Tipo</v>
      </c>
      <c r="B3" s="731" t="str">
        <f>'Objetos Dominio'!$B$15</f>
        <v>Propio</v>
      </c>
      <c r="C3" s="731"/>
      <c r="D3" s="731"/>
      <c r="E3" s="731"/>
      <c r="F3" s="731"/>
      <c r="G3" s="731"/>
      <c r="H3" s="731"/>
      <c r="I3" s="731"/>
      <c r="J3" s="731"/>
      <c r="K3" s="731"/>
      <c r="L3" s="731"/>
      <c r="M3" s="731"/>
      <c r="N3" s="731"/>
      <c r="O3" s="731"/>
      <c r="P3" s="731"/>
      <c r="Q3" s="731"/>
      <c r="R3" s="731"/>
      <c r="S3" s="731"/>
      <c r="T3" s="731"/>
      <c r="U3" s="731"/>
    </row>
    <row r="4" spans="1:22" s="60" customFormat="1" ht="14.1" customHeight="1">
      <c r="A4" s="59" t="str">
        <f>'Objetos Dominio'!$C$2</f>
        <v>Contexto Origen</v>
      </c>
      <c r="B4" s="731" t="str">
        <f>'Objetos Dominio'!$C$15</f>
        <v>Flight Hours</v>
      </c>
      <c r="C4" s="731"/>
      <c r="D4" s="731"/>
      <c r="E4" s="731"/>
      <c r="F4" s="731"/>
      <c r="G4" s="731"/>
      <c r="H4" s="731"/>
      <c r="I4" s="731"/>
      <c r="J4" s="731"/>
      <c r="K4" s="731"/>
      <c r="L4" s="731"/>
      <c r="M4" s="731"/>
      <c r="N4" s="731"/>
      <c r="O4" s="731"/>
      <c r="P4" s="731"/>
      <c r="Q4" s="731"/>
      <c r="R4" s="731"/>
      <c r="S4" s="731"/>
      <c r="T4" s="731"/>
      <c r="U4" s="731"/>
    </row>
    <row r="5" spans="1:22" s="60" customFormat="1" ht="14.1" customHeight="1">
      <c r="A5" s="94" t="str">
        <f>'Objetos Dominio'!$D$2</f>
        <v>Descripción</v>
      </c>
      <c r="B5" s="732" t="str">
        <f>'Objetos Dominio'!$D$15</f>
        <v>Objeto de dominio que representa que tipo de motor tiene el avión</v>
      </c>
      <c r="C5" s="732"/>
      <c r="D5" s="732"/>
      <c r="E5" s="732"/>
      <c r="F5" s="732"/>
      <c r="G5" s="732"/>
      <c r="H5" s="732"/>
      <c r="I5" s="732"/>
      <c r="J5" s="732"/>
      <c r="K5" s="732"/>
      <c r="L5" s="732"/>
      <c r="M5" s="732"/>
      <c r="N5" s="732"/>
      <c r="O5" s="732"/>
      <c r="P5" s="732"/>
      <c r="Q5" s="732"/>
      <c r="R5" s="732"/>
      <c r="S5" s="732"/>
      <c r="T5" s="732"/>
      <c r="U5" s="732"/>
    </row>
    <row r="6" spans="1:22" s="60" customFormat="1" ht="15">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605" t="str">
        <f>A22</f>
        <v>Consultar la Información del Motor</v>
      </c>
    </row>
    <row r="7" spans="1:22" s="60" customFormat="1" ht="53.45" customHeight="1">
      <c r="A7" s="63" t="str">
        <f>Motor_Muestreo!$A$3</f>
        <v>Id</v>
      </c>
      <c r="B7" s="64" t="s">
        <v>17</v>
      </c>
      <c r="C7" s="64">
        <v>36</v>
      </c>
      <c r="D7" s="64">
        <v>36</v>
      </c>
      <c r="E7" s="64"/>
      <c r="F7" s="64"/>
      <c r="G7" s="64"/>
      <c r="H7" s="64"/>
      <c r="I7" s="64"/>
      <c r="J7" s="67" t="s">
        <v>252</v>
      </c>
      <c r="K7" s="64"/>
      <c r="L7" s="65"/>
      <c r="M7" s="66" t="s">
        <v>9</v>
      </c>
      <c r="N7" s="66" t="s">
        <v>9</v>
      </c>
      <c r="O7" s="66" t="s">
        <v>9</v>
      </c>
      <c r="P7" s="66" t="s">
        <v>14</v>
      </c>
      <c r="Q7" s="66" t="s">
        <v>9</v>
      </c>
      <c r="R7" s="66" t="s">
        <v>14</v>
      </c>
      <c r="S7" s="66" t="s">
        <v>14</v>
      </c>
      <c r="T7" s="66" t="s">
        <v>9</v>
      </c>
      <c r="U7" s="87" t="str">
        <f>Motor_Muestreo!$A$2</f>
        <v xml:space="preserve">Corresponde a un identificador único del motor dentro del objeto de dominio Motor. </v>
      </c>
      <c r="V7" s="584" t="s">
        <v>97</v>
      </c>
    </row>
    <row r="8" spans="1:22" s="60" customFormat="1" ht="38.25" customHeight="1">
      <c r="A8" s="63" t="str">
        <f>Motor_Muestreo!$B$3</f>
        <v>Nombre</v>
      </c>
      <c r="B8" s="64" t="s">
        <v>17</v>
      </c>
      <c r="C8" s="64">
        <v>3</v>
      </c>
      <c r="D8" s="64">
        <v>3</v>
      </c>
      <c r="E8" s="64"/>
      <c r="F8" s="64"/>
      <c r="G8" s="64"/>
      <c r="H8" s="64"/>
      <c r="I8" s="64"/>
      <c r="J8" s="67" t="s">
        <v>678</v>
      </c>
      <c r="K8" s="64"/>
      <c r="L8" s="65"/>
      <c r="M8" s="66" t="s">
        <v>9</v>
      </c>
      <c r="N8" s="66" t="s">
        <v>9</v>
      </c>
      <c r="O8" s="66" t="s">
        <v>14</v>
      </c>
      <c r="P8" s="66" t="s">
        <v>14</v>
      </c>
      <c r="Q8" s="66" t="s">
        <v>9</v>
      </c>
      <c r="R8" s="66" t="s">
        <v>9</v>
      </c>
      <c r="S8" s="66" t="s">
        <v>14</v>
      </c>
      <c r="T8" s="66" t="s">
        <v>14</v>
      </c>
      <c r="U8" s="87" t="str">
        <f>Motor_Muestreo!$B$2</f>
        <v xml:space="preserve">Corresponde al nombre del motor. </v>
      </c>
      <c r="V8" s="584" t="s">
        <v>164</v>
      </c>
    </row>
    <row r="9" spans="1:22" s="60" customFormat="1" ht="45" customHeight="1">
      <c r="J9"/>
    </row>
    <row r="10" spans="1:22" s="60" customFormat="1" ht="45" customHeight="1"/>
    <row r="11" spans="1:22" s="60" customFormat="1" ht="45" customHeight="1" thickBot="1"/>
    <row r="12" spans="1:22" s="60" customFormat="1" ht="45" customHeight="1">
      <c r="A12" s="733" t="s">
        <v>106</v>
      </c>
      <c r="B12" s="734"/>
      <c r="C12" s="735"/>
    </row>
    <row r="13" spans="1:22" s="60" customFormat="1">
      <c r="A13" s="70" t="s">
        <v>107</v>
      </c>
      <c r="B13" s="71" t="s">
        <v>49</v>
      </c>
      <c r="C13" s="72" t="s">
        <v>108</v>
      </c>
    </row>
    <row r="14" spans="1:22" s="3" customFormat="1" ht="15" thickBot="1">
      <c r="A14" s="73" t="s">
        <v>679</v>
      </c>
      <c r="B14" s="74" t="str">
        <f>Motor_Muestreo!$C$2</f>
        <v>El nombre del motor no puede repetirse.</v>
      </c>
      <c r="C14" s="75" t="str">
        <f>A8</f>
        <v>Nombre</v>
      </c>
    </row>
    <row r="15" spans="1:22" s="60" customFormat="1"/>
    <row r="16" spans="1:22" s="60" customFormat="1" ht="15" thickBot="1"/>
    <row r="18" spans="1:11" ht="15"/>
    <row r="20" spans="1:11">
      <c r="A20" s="258" t="s">
        <v>111</v>
      </c>
      <c r="B20" s="259" t="s">
        <v>49</v>
      </c>
      <c r="C20" s="260"/>
      <c r="D20" s="261" t="s">
        <v>112</v>
      </c>
      <c r="E20" s="262"/>
      <c r="F20" s="260"/>
      <c r="G20" s="261" t="s">
        <v>113</v>
      </c>
      <c r="H20" s="798" t="s">
        <v>114</v>
      </c>
      <c r="I20" s="799"/>
      <c r="J20" s="800" t="s">
        <v>115</v>
      </c>
      <c r="K20" s="801"/>
    </row>
    <row r="21" spans="1:11" ht="15">
      <c r="A21" s="263"/>
      <c r="B21" s="264"/>
      <c r="C21" s="260" t="s">
        <v>116</v>
      </c>
      <c r="D21" s="265" t="s">
        <v>117</v>
      </c>
      <c r="E21" s="266" t="s">
        <v>49</v>
      </c>
      <c r="F21" s="267" t="s">
        <v>77</v>
      </c>
      <c r="G21" s="266" t="s">
        <v>49</v>
      </c>
      <c r="H21" s="267" t="s">
        <v>118</v>
      </c>
      <c r="I21" s="262" t="s">
        <v>49</v>
      </c>
      <c r="J21" s="307" t="s">
        <v>119</v>
      </c>
      <c r="K21" s="267" t="s">
        <v>120</v>
      </c>
    </row>
    <row r="22" spans="1:11" ht="112.5" customHeight="1">
      <c r="A22" s="320" t="s">
        <v>680</v>
      </c>
      <c r="B22" s="367" t="s">
        <v>681</v>
      </c>
      <c r="C22" s="367" t="s">
        <v>123</v>
      </c>
      <c r="D22" s="325" t="s">
        <v>37</v>
      </c>
      <c r="E22" s="323" t="s">
        <v>124</v>
      </c>
      <c r="F22" s="323" t="s">
        <v>682</v>
      </c>
      <c r="G22" s="687" t="s">
        <v>126</v>
      </c>
      <c r="H22" s="680" t="s">
        <v>683</v>
      </c>
      <c r="I22" s="689" t="s">
        <v>128</v>
      </c>
      <c r="J22" s="660" t="s">
        <v>129</v>
      </c>
      <c r="K22" s="688" t="s">
        <v>130</v>
      </c>
    </row>
    <row r="23" spans="1:11" ht="15"/>
    <row r="24" spans="1:11" ht="15"/>
    <row r="25" spans="1:11" ht="15"/>
    <row r="26" spans="1:11" ht="15"/>
    <row r="27" spans="1:11" ht="15"/>
    <row r="28" spans="1:11" ht="15"/>
    <row r="29" spans="1:11" ht="15"/>
    <row r="30" spans="1:11" ht="15"/>
    <row r="31" spans="1:11" ht="15"/>
    <row r="32" spans="1:11" ht="15"/>
  </sheetData>
  <mergeCells count="7">
    <mergeCell ref="H20:I20"/>
    <mergeCell ref="J20:K20"/>
    <mergeCell ref="B2:U2"/>
    <mergeCell ref="B3:U3"/>
    <mergeCell ref="B4:U4"/>
    <mergeCell ref="B5:U5"/>
    <mergeCell ref="A12:C12"/>
  </mergeCells>
  <phoneticPr fontId="10" type="noConversion"/>
  <hyperlinks>
    <hyperlink ref="C1" location="Motor_Muestreo!A1" display="&lt;&lt; Muestreo Datos" xr:uid="{602B1490-2F33-4528-B4EA-5C4E3E0B8E95}"/>
    <hyperlink ref="A1" location="'Modelo Dominio Anémico'!A1" display="&lt;&lt; Modelo de dominio &gt;&gt;" xr:uid="{16864D03-DE84-4A2C-B634-053C08B24C80}"/>
    <hyperlink ref="B1" location="'Objetos Dominio'!A1" display="&lt;&lt; Objetos de dominio" xr:uid="{3088324E-5BFB-4839-83B8-C22F6BFC8607}"/>
    <hyperlink ref="C14" location="Motor_Caracterización!A8" display="Motor_Caracterización!A8" xr:uid="{202D8E91-83F9-49F5-A465-BC7ECAD4162C}"/>
    <hyperlink ref="V6" location="Objeto Dominio 2!A16" display="Registrar Información  Horario Sede" xr:uid="{1120C9BB-E5B1-46E8-8D92-B2E993F7894B}"/>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984B6F87-2138-4101-8E46-0F1F291B5AF0}">
          <x14:formula1>
            <xm:f>Valores!$F$2:$F$4</xm:f>
          </x14:formula1>
          <xm:sqref>G7</xm:sqref>
        </x14:dataValidation>
        <x14:dataValidation type="list" allowBlank="1" showInputMessage="1" showErrorMessage="1" xr:uid="{B05DA2D7-20A0-4FDC-B35A-4E6B8F1885C9}">
          <x14:formula1>
            <xm:f>Valores!$D$2:$D$3</xm:f>
          </x14:formula1>
          <xm:sqref>M7:T8</xm:sqref>
        </x14:dataValidation>
        <x14:dataValidation type="list" allowBlank="1" showInputMessage="1" showErrorMessage="1" xr:uid="{DB9A04A9-50FC-425C-B780-25057EA06039}">
          <x14:formula1>
            <xm:f>Valores!$E$2:$E$23</xm:f>
          </x14:formula1>
          <xm:sqref>B7:B8</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79BF4-8C0F-43A0-9B61-82D8BDEDD9E6}">
  <sheetPr codeName="Hoja20">
    <tabColor rgb="FF0070C0"/>
  </sheetPr>
  <dimension ref="A1:C5"/>
  <sheetViews>
    <sheetView workbookViewId="0">
      <pane ySplit="3" topLeftCell="A4" activePane="bottomLeft" state="frozen"/>
      <selection pane="bottomLeft" activeCell="E11" sqref="A10:E11"/>
    </sheetView>
  </sheetViews>
  <sheetFormatPr defaultColWidth="10.85546875" defaultRowHeight="14.45"/>
  <cols>
    <col min="1" max="1" width="38.5703125" style="4" customWidth="1"/>
    <col min="2" max="2" width="36.5703125" style="4" bestFit="1" customWidth="1"/>
    <col min="3" max="5" width="24.5703125" style="4" bestFit="1" customWidth="1"/>
    <col min="6" max="6" width="27.5703125" style="4" bestFit="1" customWidth="1"/>
    <col min="7" max="7" width="31.5703125" style="4" bestFit="1" customWidth="1"/>
    <col min="8" max="8" width="24.5703125" style="4" bestFit="1" customWidth="1"/>
    <col min="9" max="16384" width="10.85546875" style="4"/>
  </cols>
  <sheetData>
    <row r="1" spans="1:3" customFormat="1" ht="15" thickBot="1">
      <c r="A1" s="58" t="s">
        <v>46</v>
      </c>
      <c r="B1" s="69" t="s">
        <v>74</v>
      </c>
      <c r="C1" s="69" t="s">
        <v>145</v>
      </c>
    </row>
    <row r="2" spans="1:3" s="3" customFormat="1" ht="21">
      <c r="A2" s="8" t="s">
        <v>684</v>
      </c>
      <c r="B2" s="9" t="s">
        <v>685</v>
      </c>
      <c r="C2" s="10" t="s">
        <v>686</v>
      </c>
    </row>
    <row r="3" spans="1:3">
      <c r="A3" s="36" t="s">
        <v>133</v>
      </c>
      <c r="B3" s="37" t="s">
        <v>47</v>
      </c>
      <c r="C3" s="19" t="s">
        <v>153</v>
      </c>
    </row>
    <row r="4" spans="1:3">
      <c r="A4" s="38" t="s">
        <v>687</v>
      </c>
      <c r="B4" s="39" t="s">
        <v>671</v>
      </c>
      <c r="C4" s="20" t="str">
        <f>B4</f>
        <v>CFM</v>
      </c>
    </row>
    <row r="5" spans="1:3">
      <c r="A5" s="38" t="s">
        <v>688</v>
      </c>
      <c r="B5" s="39" t="s">
        <v>673</v>
      </c>
      <c r="C5" s="20" t="str">
        <f>B5</f>
        <v>IAE</v>
      </c>
    </row>
  </sheetData>
  <hyperlinks>
    <hyperlink ref="C1" location="Motor_Caracterización!A1" display="Caracterización objeto &gt;&gt;" xr:uid="{97C73F79-BD8C-4E8C-AB6F-FF74487D9EAB}"/>
    <hyperlink ref="A1" location="'Modelo Dominio Anémico'!A1" display="&lt;&lt; Modelo de dominio &gt;&gt;" xr:uid="{8152DE85-8570-4497-B387-ACB2762BCE41}"/>
    <hyperlink ref="B1" location="'Objetos Dominio'!A1" display="&lt;&lt; Objetos de dominio" xr:uid="{AE92DB53-9009-4BDB-B827-542C482BDB43}"/>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FDC9B-1EF9-48CE-84FB-D781DA680D64}">
  <sheetPr>
    <tabColor rgb="FF7030A0"/>
  </sheetPr>
  <dimension ref="A1:V24"/>
  <sheetViews>
    <sheetView workbookViewId="0">
      <pane ySplit="7" topLeftCell="A8" activePane="bottomLeft" state="frozen"/>
      <selection pane="bottomLeft" activeCell="A10" sqref="A10:XFD10"/>
      <selection activeCell="A7" sqref="A7"/>
    </sheetView>
  </sheetViews>
  <sheetFormatPr defaultColWidth="10.85546875" defaultRowHeight="15"/>
  <cols>
    <col min="1" max="1" width="36" style="4" bestFit="1" customWidth="1"/>
    <col min="2" max="4" width="38.5703125" style="4" customWidth="1"/>
    <col min="5" max="5" width="30.140625" style="4" customWidth="1"/>
    <col min="6" max="6" width="20.140625" style="4" bestFit="1" customWidth="1"/>
    <col min="7" max="7" width="20.5703125" style="4" customWidth="1"/>
    <col min="8" max="8" width="32.42578125" style="4" bestFit="1" customWidth="1"/>
    <col min="9" max="9" width="29.42578125" style="4" bestFit="1" customWidth="1"/>
    <col min="10" max="10" width="40.5703125" style="4" customWidth="1"/>
    <col min="11" max="11" width="33.42578125" style="4" customWidth="1"/>
    <col min="12" max="12" width="34.28515625" style="4"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62.42578125" style="4" customWidth="1"/>
    <col min="23" max="16384" width="10.85546875" style="4"/>
  </cols>
  <sheetData>
    <row r="1" spans="1:22" customFormat="1">
      <c r="A1" s="58" t="s">
        <v>46</v>
      </c>
      <c r="B1" s="69" t="s">
        <v>74</v>
      </c>
      <c r="C1" s="69" t="s">
        <v>75</v>
      </c>
    </row>
    <row r="2" spans="1:22" s="60" customFormat="1">
      <c r="A2" s="59" t="str">
        <f>'Objetos Dominio'!$A$2</f>
        <v>Nombre</v>
      </c>
      <c r="B2" s="730" t="str">
        <f>'Objetos Dominio'!$A$17</f>
        <v>Ruta</v>
      </c>
      <c r="C2" s="730"/>
      <c r="D2" s="730"/>
      <c r="E2" s="730"/>
      <c r="F2" s="730"/>
      <c r="G2" s="730"/>
      <c r="H2" s="730"/>
      <c r="I2" s="730"/>
      <c r="J2" s="730"/>
      <c r="K2" s="730"/>
      <c r="L2" s="730"/>
      <c r="M2" s="730"/>
      <c r="N2" s="730"/>
      <c r="O2" s="730"/>
      <c r="P2" s="730"/>
      <c r="Q2" s="730"/>
      <c r="R2" s="730"/>
      <c r="S2" s="730"/>
      <c r="T2" s="730"/>
      <c r="U2" s="730"/>
    </row>
    <row r="3" spans="1:22" s="60" customFormat="1" ht="14.1" customHeight="1">
      <c r="A3" s="59" t="str">
        <f>'Objetos Dominio'!$B$2</f>
        <v>Tipo</v>
      </c>
      <c r="B3" s="731" t="str">
        <f>'Objetos Dominio'!$B$17</f>
        <v>Referenciado</v>
      </c>
      <c r="C3" s="731"/>
      <c r="D3" s="731"/>
      <c r="E3" s="731"/>
      <c r="F3" s="731"/>
      <c r="G3" s="731"/>
      <c r="H3" s="731"/>
      <c r="I3" s="731"/>
      <c r="J3" s="731"/>
      <c r="K3" s="731"/>
      <c r="L3" s="731"/>
      <c r="M3" s="731"/>
      <c r="N3" s="731"/>
      <c r="O3" s="731"/>
      <c r="P3" s="731"/>
      <c r="Q3" s="731"/>
      <c r="R3" s="731"/>
      <c r="S3" s="731"/>
      <c r="T3" s="731"/>
      <c r="U3" s="731"/>
    </row>
    <row r="4" spans="1:22" s="60" customFormat="1" ht="14.1" customHeight="1">
      <c r="A4" s="59" t="str">
        <f>'Objetos Dominio'!$C$2</f>
        <v>Contexto Origen</v>
      </c>
      <c r="B4" s="731">
        <f>'Objetos Dominio'!$C$17</f>
        <v>0</v>
      </c>
      <c r="C4" s="731"/>
      <c r="D4" s="731"/>
      <c r="E4" s="731"/>
      <c r="F4" s="731"/>
      <c r="G4" s="731"/>
      <c r="H4" s="731"/>
      <c r="I4" s="731"/>
      <c r="J4" s="731"/>
      <c r="K4" s="731"/>
      <c r="L4" s="731"/>
      <c r="M4" s="731"/>
      <c r="N4" s="731"/>
      <c r="O4" s="731"/>
      <c r="P4" s="731"/>
      <c r="Q4" s="731"/>
      <c r="R4" s="731"/>
      <c r="S4" s="731"/>
      <c r="T4" s="731"/>
      <c r="U4" s="731"/>
    </row>
    <row r="5" spans="1:22" s="60" customFormat="1" ht="14.1" customHeight="1">
      <c r="A5" s="94" t="str">
        <f>'Objetos Dominio'!$D$2</f>
        <v>Descripción</v>
      </c>
      <c r="B5" s="732" t="str">
        <f>'Objetos Dominio'!$D$17</f>
        <v>Objeto de dominio que representa el origen  y destino de un vuelo de un aeropuerto a otro realizado por una aerolínea nacional o internacionalmente</v>
      </c>
      <c r="C5" s="732"/>
      <c r="D5" s="732"/>
      <c r="E5" s="732"/>
      <c r="F5" s="732"/>
      <c r="G5" s="732"/>
      <c r="H5" s="732"/>
      <c r="I5" s="732"/>
      <c r="J5" s="732"/>
      <c r="K5" s="732"/>
      <c r="L5" s="732"/>
      <c r="M5" s="732"/>
      <c r="N5" s="732"/>
      <c r="O5" s="732"/>
      <c r="P5" s="732"/>
      <c r="Q5" s="732"/>
      <c r="R5" s="732"/>
      <c r="S5" s="732"/>
      <c r="T5" s="732"/>
      <c r="U5" s="732"/>
    </row>
    <row r="6" spans="1:22" s="60" customFormat="1">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605" t="str">
        <f>A24</f>
        <v>Consultar Información Ruta</v>
      </c>
    </row>
    <row r="7" spans="1:22" s="60" customFormat="1" ht="53.25">
      <c r="A7" s="63" t="str">
        <f>'Ruta_Muestreo '!A3</f>
        <v>Id</v>
      </c>
      <c r="B7" s="64" t="s">
        <v>17</v>
      </c>
      <c r="C7" s="64">
        <v>36</v>
      </c>
      <c r="D7" s="64">
        <v>36</v>
      </c>
      <c r="E7" s="64"/>
      <c r="F7" s="64"/>
      <c r="G7" s="64"/>
      <c r="H7" s="64"/>
      <c r="I7" s="64"/>
      <c r="J7" s="67" t="s">
        <v>252</v>
      </c>
      <c r="K7" s="64"/>
      <c r="L7" s="65"/>
      <c r="M7" s="66" t="s">
        <v>9</v>
      </c>
      <c r="N7" s="66" t="s">
        <v>9</v>
      </c>
      <c r="O7" s="66" t="s">
        <v>9</v>
      </c>
      <c r="P7" s="66" t="s">
        <v>14</v>
      </c>
      <c r="Q7" s="66" t="s">
        <v>9</v>
      </c>
      <c r="R7" s="66" t="s">
        <v>14</v>
      </c>
      <c r="S7" s="66" t="s">
        <v>14</v>
      </c>
      <c r="T7" s="66" t="s">
        <v>9</v>
      </c>
      <c r="U7" s="95" t="str">
        <f>'Ruta_Muestreo '!A2</f>
        <v>Corresponde a un identificador único de la ruta de la aerolínea por el tipo de aeropuerto dentro del objeto de dominio Ruta Aerolínea.</v>
      </c>
      <c r="V7" s="584" t="s">
        <v>97</v>
      </c>
    </row>
    <row r="8" spans="1:22" s="60" customFormat="1" ht="60.75">
      <c r="A8" s="63" t="str">
        <f>'Ruta_Muestreo '!B3</f>
        <v>Aeropuerto Origen</v>
      </c>
      <c r="B8" s="96" t="s">
        <v>28</v>
      </c>
      <c r="C8" s="64"/>
      <c r="D8" s="64"/>
      <c r="E8" s="64"/>
      <c r="F8" s="64"/>
      <c r="G8" s="64"/>
      <c r="H8" s="64"/>
      <c r="I8" s="64"/>
      <c r="J8" s="64"/>
      <c r="K8" s="64"/>
      <c r="L8" s="68"/>
      <c r="M8" s="66" t="s">
        <v>14</v>
      </c>
      <c r="N8" s="66" t="s">
        <v>14</v>
      </c>
      <c r="O8" s="66" t="s">
        <v>14</v>
      </c>
      <c r="P8" s="66" t="s">
        <v>14</v>
      </c>
      <c r="Q8" s="66" t="s">
        <v>9</v>
      </c>
      <c r="R8" s="66" t="s">
        <v>9</v>
      </c>
      <c r="S8" s="66" t="s">
        <v>14</v>
      </c>
      <c r="T8" s="66" t="s">
        <v>14</v>
      </c>
      <c r="U8" s="95" t="str">
        <f>'Ruta_Muestreo '!B2</f>
        <v>Corresponde al  código del aeropuerto de origen</v>
      </c>
      <c r="V8" s="584" t="s">
        <v>689</v>
      </c>
    </row>
    <row r="9" spans="1:22" s="60" customFormat="1" ht="75" customHeight="1">
      <c r="A9" s="63" t="str">
        <f>'Ruta_Muestreo '!C3</f>
        <v>Aeropuerto Destino</v>
      </c>
      <c r="B9" s="96" t="s">
        <v>28</v>
      </c>
      <c r="C9" s="64"/>
      <c r="D9" s="64"/>
      <c r="E9" s="64"/>
      <c r="F9" s="64"/>
      <c r="G9" s="64"/>
      <c r="H9" s="64"/>
      <c r="I9" s="64"/>
      <c r="J9" s="64"/>
      <c r="K9" s="64"/>
      <c r="L9" s="68"/>
      <c r="M9" s="66" t="s">
        <v>9</v>
      </c>
      <c r="N9" s="66" t="s">
        <v>9</v>
      </c>
      <c r="O9" s="66" t="s">
        <v>14</v>
      </c>
      <c r="P9" s="66" t="s">
        <v>14</v>
      </c>
      <c r="Q9" s="66" t="s">
        <v>9</v>
      </c>
      <c r="R9" s="66" t="s">
        <v>9</v>
      </c>
      <c r="S9" s="66" t="s">
        <v>14</v>
      </c>
      <c r="T9" s="66" t="s">
        <v>14</v>
      </c>
      <c r="U9" s="95" t="str">
        <f>'Ruta_Muestreo '!C2</f>
        <v>Corresponde al código del aeropuerto de destino</v>
      </c>
      <c r="V9" s="600" t="s">
        <v>690</v>
      </c>
    </row>
    <row r="10" spans="1:22" s="60" customFormat="1" ht="45.75">
      <c r="A10" s="63" t="str">
        <f>'Ruta_Muestreo '!D3</f>
        <v>Tipo Aeropuerto</v>
      </c>
      <c r="B10" s="723" t="s">
        <v>691</v>
      </c>
      <c r="C10" s="64"/>
      <c r="D10" s="64"/>
      <c r="E10" s="64"/>
      <c r="F10" s="64"/>
      <c r="G10" s="64"/>
      <c r="H10" s="64"/>
      <c r="I10" s="64"/>
      <c r="J10" s="64"/>
      <c r="K10" s="64"/>
      <c r="L10" s="68"/>
      <c r="M10" s="66" t="s">
        <v>9</v>
      </c>
      <c r="N10" s="66" t="s">
        <v>9</v>
      </c>
      <c r="O10" s="66" t="s">
        <v>14</v>
      </c>
      <c r="P10" s="66" t="s">
        <v>9</v>
      </c>
      <c r="Q10" s="66" t="s">
        <v>9</v>
      </c>
      <c r="R10" s="66" t="s">
        <v>9</v>
      </c>
      <c r="S10" s="66" t="s">
        <v>14</v>
      </c>
      <c r="T10" s="66" t="s">
        <v>14</v>
      </c>
      <c r="U10" s="95" t="str">
        <f>'Ruta_Muestreo '!D2</f>
        <v>Corresponde al tipo de vuelo que se realiza</v>
      </c>
      <c r="V10" s="584" t="s">
        <v>692</v>
      </c>
    </row>
    <row r="11" spans="1:22" s="60" customFormat="1" ht="30.75">
      <c r="A11" s="63" t="str">
        <f>'Ruta_Muestreo '!E3</f>
        <v>Tiempo Vuelo Estimado</v>
      </c>
      <c r="B11" s="96" t="s">
        <v>23</v>
      </c>
      <c r="C11" s="64"/>
      <c r="D11" s="64"/>
      <c r="E11" s="64"/>
      <c r="F11" s="64"/>
      <c r="G11" s="64"/>
      <c r="H11" s="64"/>
      <c r="I11" s="64"/>
      <c r="J11" s="64"/>
      <c r="K11" s="64"/>
      <c r="L11" s="68"/>
      <c r="M11" s="66" t="s">
        <v>9</v>
      </c>
      <c r="N11" s="66" t="s">
        <v>9</v>
      </c>
      <c r="O11" s="66" t="s">
        <v>14</v>
      </c>
      <c r="P11" s="66" t="s">
        <v>14</v>
      </c>
      <c r="Q11" s="66" t="s">
        <v>9</v>
      </c>
      <c r="R11" s="66" t="s">
        <v>9</v>
      </c>
      <c r="S11" s="66" t="s">
        <v>14</v>
      </c>
      <c r="T11" s="66" t="s">
        <v>14</v>
      </c>
      <c r="U11" s="95" t="str">
        <f>'Ruta_Muestreo '!E2</f>
        <v>Corresponde al tiempo de vuelo estimado de acuerdo a la ruta</v>
      </c>
      <c r="V11" s="600" t="s">
        <v>693</v>
      </c>
    </row>
    <row r="12" spans="1:22" s="60" customFormat="1" ht="21.6" customHeight="1"/>
    <row r="13" spans="1:22" s="60" customFormat="1" ht="21.6" customHeight="1"/>
    <row r="14" spans="1:22">
      <c r="A14" s="733" t="s">
        <v>106</v>
      </c>
      <c r="B14" s="734"/>
      <c r="C14" s="735"/>
    </row>
    <row r="15" spans="1:22">
      <c r="A15" s="70" t="s">
        <v>107</v>
      </c>
      <c r="B15" s="71" t="s">
        <v>49</v>
      </c>
      <c r="C15" s="72" t="s">
        <v>108</v>
      </c>
    </row>
    <row r="16" spans="1:22">
      <c r="A16" s="755" t="s">
        <v>694</v>
      </c>
      <c r="B16" s="757" t="str">
        <f>'Ruta_Muestreo '!F2</f>
        <v>La ruta  no se puede repetir</v>
      </c>
      <c r="C16" s="139" t="str">
        <f>A8</f>
        <v>Aeropuerto Origen</v>
      </c>
    </row>
    <row r="17" spans="1:11" ht="33" customHeight="1">
      <c r="A17" s="756"/>
      <c r="B17" s="758"/>
      <c r="C17" s="140" t="str">
        <f>A9</f>
        <v>Aeropuerto Destino</v>
      </c>
    </row>
    <row r="22" spans="1:11">
      <c r="A22" s="155" t="s">
        <v>111</v>
      </c>
      <c r="B22" s="156" t="s">
        <v>49</v>
      </c>
      <c r="C22" s="157"/>
      <c r="D22" s="158" t="s">
        <v>112</v>
      </c>
      <c r="E22" s="159"/>
      <c r="F22" s="157"/>
      <c r="G22" s="158" t="s">
        <v>113</v>
      </c>
      <c r="H22" s="726" t="s">
        <v>114</v>
      </c>
      <c r="I22" s="727"/>
      <c r="J22" s="728" t="s">
        <v>115</v>
      </c>
      <c r="K22" s="729"/>
    </row>
    <row r="23" spans="1:11">
      <c r="A23" s="160"/>
      <c r="B23" s="161"/>
      <c r="C23" s="157" t="s">
        <v>116</v>
      </c>
      <c r="D23" s="170" t="s">
        <v>117</v>
      </c>
      <c r="E23" s="188" t="s">
        <v>49</v>
      </c>
      <c r="F23" s="166" t="s">
        <v>77</v>
      </c>
      <c r="G23" s="188" t="s">
        <v>49</v>
      </c>
      <c r="H23" s="166" t="s">
        <v>118</v>
      </c>
      <c r="I23" s="159" t="s">
        <v>49</v>
      </c>
      <c r="J23" s="189" t="s">
        <v>119</v>
      </c>
      <c r="K23" s="166" t="s">
        <v>120</v>
      </c>
    </row>
    <row r="24" spans="1:11" ht="124.5" customHeight="1">
      <c r="A24" s="407" t="s">
        <v>695</v>
      </c>
      <c r="B24" s="408" t="s">
        <v>696</v>
      </c>
      <c r="C24" s="327" t="s">
        <v>123</v>
      </c>
      <c r="D24" s="409" t="s">
        <v>29</v>
      </c>
      <c r="E24" s="321" t="s">
        <v>124</v>
      </c>
      <c r="F24" s="339" t="s">
        <v>697</v>
      </c>
      <c r="G24" s="378" t="s">
        <v>698</v>
      </c>
      <c r="H24" s="167" t="s">
        <v>699</v>
      </c>
      <c r="I24" s="379" t="s">
        <v>128</v>
      </c>
      <c r="J24" s="379" t="s">
        <v>618</v>
      </c>
      <c r="K24" s="340" t="s">
        <v>130</v>
      </c>
    </row>
  </sheetData>
  <mergeCells count="9">
    <mergeCell ref="H22:I22"/>
    <mergeCell ref="J22:K22"/>
    <mergeCell ref="A16:A17"/>
    <mergeCell ref="B16:B17"/>
    <mergeCell ref="B2:U2"/>
    <mergeCell ref="B3:U3"/>
    <mergeCell ref="B4:U4"/>
    <mergeCell ref="B5:U5"/>
    <mergeCell ref="A14:C14"/>
  </mergeCells>
  <hyperlinks>
    <hyperlink ref="A1" location="'Modelo Dominio Anémico'!A1" display="&lt;&lt; Modelo de dominio &gt;&gt;" xr:uid="{40E11EE7-2D7F-4606-B557-8C149BF02771}"/>
    <hyperlink ref="B1" location="'Objetos Dominio'!A1" display="&lt;&lt; Objetos de dominio" xr:uid="{BE527979-6C84-4A30-BB46-81F71F0B0873}"/>
    <hyperlink ref="C1" location="RutaAerolinea_Muestreo!A1" display="&lt;&lt; Muestreo Datos" xr:uid="{3EF3B77E-6F07-4510-8F3A-BBB03C75F2BC}"/>
    <hyperlink ref="B8" location="'Aeropuerto_Caracterización '!A1" display="Aeropuerto" xr:uid="{E62BCB9D-B505-4BB0-A175-71367C13C085}"/>
    <hyperlink ref="B9" location="'Aeropuerto_Caracterización '!A1" display="Aeropuerto" xr:uid="{4E0EA995-CF02-4300-BA9A-2D7D95735310}"/>
    <hyperlink ref="B11" location="TipoVuelo_Caracterización!A1" display="Tipo Vuelo" xr:uid="{3FD5C237-DF1E-4CD7-868C-4D41674F2F11}"/>
    <hyperlink ref="V6" location="Objeto Dominio 2!A16" display="Registrar Información  Horario Sede" xr:uid="{F3071C4A-445F-4894-B0B7-DC7C4A4E5700}"/>
    <hyperlink ref="B10" location="'TipoAeropuerto_Caracterización'!A1" display="TipoAeropuerto" xr:uid="{95886C49-53F8-4BAA-854D-2E6C348FD76D}"/>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9CC687C-823A-4CE7-9974-FA91E2D4C113}">
          <x14:formula1>
            <xm:f>Valores!$F$2:$F$4</xm:f>
          </x14:formula1>
          <xm:sqref>G7</xm:sqref>
        </x14:dataValidation>
        <x14:dataValidation type="list" allowBlank="1" showInputMessage="1" showErrorMessage="1" xr:uid="{DF1A56A1-EF30-4445-8109-140C05520535}">
          <x14:formula1>
            <xm:f>Valores!$D$2:$D$3</xm:f>
          </x14:formula1>
          <xm:sqref>M7:T11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86F12-903A-49C4-B011-799817C08B26}">
  <sheetPr>
    <tabColor rgb="FF7030A0"/>
  </sheetPr>
  <dimension ref="A1:G15"/>
  <sheetViews>
    <sheetView workbookViewId="0">
      <selection activeCell="E19" sqref="E19"/>
    </sheetView>
  </sheetViews>
  <sheetFormatPr defaultColWidth="10.85546875" defaultRowHeight="15" customHeight="1"/>
  <cols>
    <col min="1" max="1" width="46.28515625" style="4" customWidth="1"/>
    <col min="2" max="2" width="25.140625" style="4" bestFit="1" customWidth="1"/>
    <col min="3" max="3" width="21.140625" style="4" customWidth="1"/>
    <col min="4" max="4" width="20.7109375" style="4" customWidth="1"/>
    <col min="5" max="5" width="24.5703125" style="4" customWidth="1"/>
    <col min="6" max="6" width="23.7109375" style="4" bestFit="1" customWidth="1"/>
    <col min="7" max="7" width="27.7109375" style="4" customWidth="1"/>
    <col min="8" max="16384" width="10.85546875" style="4"/>
  </cols>
  <sheetData>
    <row r="1" spans="1:7" customFormat="1" ht="20.45" customHeight="1">
      <c r="A1" s="58" t="s">
        <v>46</v>
      </c>
      <c r="B1" s="69" t="s">
        <v>74</v>
      </c>
      <c r="C1" s="4"/>
      <c r="D1" s="4"/>
      <c r="E1" s="4"/>
      <c r="F1" s="4"/>
      <c r="G1" s="4"/>
    </row>
    <row r="2" spans="1:7" s="1" customFormat="1" ht="41.45" customHeight="1">
      <c r="A2" s="422" t="s">
        <v>700</v>
      </c>
      <c r="B2" s="422" t="s">
        <v>701</v>
      </c>
      <c r="C2" s="422" t="s">
        <v>702</v>
      </c>
      <c r="D2" s="422" t="s">
        <v>703</v>
      </c>
      <c r="E2" s="422" t="s">
        <v>704</v>
      </c>
      <c r="F2" s="422" t="s">
        <v>705</v>
      </c>
    </row>
    <row r="3" spans="1:7" s="28" customFormat="1" ht="24" customHeight="1">
      <c r="A3" s="414" t="s">
        <v>133</v>
      </c>
      <c r="B3" s="415" t="s">
        <v>706</v>
      </c>
      <c r="C3" s="415" t="s">
        <v>707</v>
      </c>
      <c r="D3" s="416" t="s">
        <v>27</v>
      </c>
      <c r="E3" s="417" t="s">
        <v>708</v>
      </c>
      <c r="F3" s="418" t="s">
        <v>153</v>
      </c>
    </row>
    <row r="4" spans="1:7">
      <c r="A4" s="419" t="s">
        <v>159</v>
      </c>
      <c r="B4" s="410" t="s">
        <v>203</v>
      </c>
      <c r="C4" s="410" t="s">
        <v>209</v>
      </c>
      <c r="D4" s="416" t="str">
        <f>TipoAeropuerto_Muestreo!C$4</f>
        <v>Nacional</v>
      </c>
      <c r="E4" s="420">
        <v>4.3749999999999997E-2</v>
      </c>
      <c r="F4" s="421" t="str">
        <f>_xlfn.CONCAT(B4,"-",C4)</f>
        <v>BOG-CLO</v>
      </c>
    </row>
    <row r="5" spans="1:7">
      <c r="A5" s="419" t="s">
        <v>633</v>
      </c>
      <c r="B5" s="410" t="s">
        <v>209</v>
      </c>
      <c r="C5" s="410" t="s">
        <v>203</v>
      </c>
      <c r="D5" s="416" t="str">
        <f>TipoAeropuerto_Muestreo!C$4</f>
        <v>Nacional</v>
      </c>
      <c r="E5" s="420">
        <v>4.2361111111111113E-2</v>
      </c>
      <c r="F5" s="421" t="str">
        <f t="shared" ref="F5:F13" si="0">_xlfn.CONCAT(B5,"-",C5)</f>
        <v>CLO-BOG</v>
      </c>
    </row>
    <row r="6" spans="1:7">
      <c r="A6" s="419" t="s">
        <v>635</v>
      </c>
      <c r="B6" s="410" t="s">
        <v>200</v>
      </c>
      <c r="C6" s="410" t="s">
        <v>203</v>
      </c>
      <c r="D6" s="416" t="str">
        <f>TipoAeropuerto_Muestreo!C$4</f>
        <v>Nacional</v>
      </c>
      <c r="E6" s="420">
        <v>4.027777777777778E-2</v>
      </c>
      <c r="F6" s="421" t="str">
        <f t="shared" si="0"/>
        <v>MDE-BOG</v>
      </c>
    </row>
    <row r="7" spans="1:7">
      <c r="A7" s="419" t="s">
        <v>676</v>
      </c>
      <c r="B7" s="410" t="s">
        <v>203</v>
      </c>
      <c r="C7" s="410" t="s">
        <v>245</v>
      </c>
      <c r="D7" s="416" t="str">
        <f>TipoAeropuerto_Muestreo!C$4</f>
        <v>Nacional</v>
      </c>
      <c r="E7" s="420">
        <v>5.6250000000000001E-2</v>
      </c>
      <c r="F7" s="421" t="str">
        <f t="shared" si="0"/>
        <v>BOG-MTR</v>
      </c>
    </row>
    <row r="8" spans="1:7">
      <c r="A8" s="419" t="s">
        <v>310</v>
      </c>
      <c r="B8" s="411" t="s">
        <v>245</v>
      </c>
      <c r="C8" s="411" t="s">
        <v>203</v>
      </c>
      <c r="D8" s="416" t="str">
        <f>TipoAeropuerto_Muestreo!C$4</f>
        <v>Nacional</v>
      </c>
      <c r="E8" s="420">
        <v>5.7638888888888892E-2</v>
      </c>
      <c r="F8" s="421" t="str">
        <f t="shared" si="0"/>
        <v>MTR-BOG</v>
      </c>
    </row>
    <row r="9" spans="1:7">
      <c r="A9" s="419" t="s">
        <v>585</v>
      </c>
      <c r="B9" s="412" t="s">
        <v>200</v>
      </c>
      <c r="C9" s="412" t="s">
        <v>218</v>
      </c>
      <c r="D9" s="416" t="str">
        <f>TipoAeropuerto_Muestreo!C$4</f>
        <v>Nacional</v>
      </c>
      <c r="E9" s="420">
        <v>5.1388888888888887E-2</v>
      </c>
      <c r="F9" s="421" t="str">
        <f t="shared" si="0"/>
        <v>MDE-SMR</v>
      </c>
    </row>
    <row r="10" spans="1:7">
      <c r="A10" s="419" t="s">
        <v>709</v>
      </c>
      <c r="B10" s="412" t="s">
        <v>218</v>
      </c>
      <c r="C10" s="412" t="s">
        <v>200</v>
      </c>
      <c r="D10" s="416" t="str">
        <f>TipoAeropuerto_Muestreo!C$4</f>
        <v>Nacional</v>
      </c>
      <c r="E10" s="420">
        <v>5.2083333333333336E-2</v>
      </c>
      <c r="F10" s="421" t="str">
        <f t="shared" si="0"/>
        <v>SMR-MDE</v>
      </c>
    </row>
    <row r="11" spans="1:7">
      <c r="A11" s="419" t="s">
        <v>710</v>
      </c>
      <c r="B11" s="412" t="s">
        <v>200</v>
      </c>
      <c r="C11" s="412" t="s">
        <v>209</v>
      </c>
      <c r="D11" s="416" t="str">
        <f>TipoAeropuerto_Muestreo!C$4</f>
        <v>Nacional</v>
      </c>
      <c r="E11" s="420">
        <v>4.3055555555555555E-2</v>
      </c>
      <c r="F11" s="421" t="str">
        <f t="shared" si="0"/>
        <v>MDE-CLO</v>
      </c>
    </row>
    <row r="12" spans="1:7">
      <c r="A12" s="419" t="s">
        <v>711</v>
      </c>
      <c r="B12" s="412" t="s">
        <v>209</v>
      </c>
      <c r="C12" s="412" t="s">
        <v>200</v>
      </c>
      <c r="D12" s="416" t="str">
        <f>TipoAeropuerto_Muestreo!C$4</f>
        <v>Nacional</v>
      </c>
      <c r="E12" s="420">
        <v>4.791666666666667E-2</v>
      </c>
      <c r="F12" s="421" t="str">
        <f t="shared" si="0"/>
        <v>CLO-MDE</v>
      </c>
    </row>
    <row r="13" spans="1:7">
      <c r="A13" s="419" t="s">
        <v>712</v>
      </c>
      <c r="B13" s="412" t="s">
        <v>203</v>
      </c>
      <c r="C13" s="412" t="s">
        <v>215</v>
      </c>
      <c r="D13" s="416" t="str">
        <f>TipoAeropuerto_Muestreo!C$4</f>
        <v>Nacional</v>
      </c>
      <c r="E13" s="420">
        <v>6.3888888888888884E-2</v>
      </c>
      <c r="F13" s="421" t="str">
        <f t="shared" si="0"/>
        <v>BOG-CTG</v>
      </c>
    </row>
    <row r="14" spans="1:7"/>
    <row r="15" spans="1:7">
      <c r="A15" s="724"/>
    </row>
  </sheetData>
  <hyperlinks>
    <hyperlink ref="A1" location="'Modelo Dominio Anémico'!A1" display="&lt;&lt; Modelo de dominio &gt;&gt;" xr:uid="{74B6A507-0D7D-49EC-8053-895059CB1104}"/>
    <hyperlink ref="B1" location="'Objetos Dominio'!A1" display="&lt;&lt; Objetos de dominio" xr:uid="{25AF1FED-79AD-4B2D-A2EE-193D380DF78F}"/>
    <hyperlink ref="B4" location="'Aeropuerto_Muestreo '!A5" display="BOG" xr:uid="{FDB5644A-1AF0-49A3-8F36-B5744A984D54}"/>
    <hyperlink ref="B5" location="'Aeropuerto_Muestreo '!A7" display="CLO" xr:uid="{7C90FEA9-8677-4093-AD99-6E9227A037FA}"/>
    <hyperlink ref="B6" location="'Aeropuerto_Muestreo '!A4" display="MDE" xr:uid="{1BA794EC-1E5C-4801-B466-53200446998C}"/>
    <hyperlink ref="B7" location="'Aeropuerto_Muestreo '!A5" display="BOG" xr:uid="{5AE2CC26-1E8A-423A-8E0F-246302D3669E}"/>
    <hyperlink ref="B8" location="'Aeropuerto_Muestreo '!A19" display="MTR" xr:uid="{0A94EBF9-83C0-4B63-8750-60BB3EDE99C9}"/>
    <hyperlink ref="B9" location="'Aeropuerto_Muestreo '!A4" display="MDE" xr:uid="{6E1EAC4F-1B92-473D-907D-3CACE3269F19}"/>
    <hyperlink ref="B10" location="'Aeropuerto_Muestreo '!A10" display="SMR" xr:uid="{715782AA-A40A-4339-9DCA-B4E694E9FFD2}"/>
    <hyperlink ref="B11" location="'Aeropuerto_Muestreo '!A4" display="MDE" xr:uid="{74BCA957-83E8-4A83-86F2-5DAF78923FC6}"/>
    <hyperlink ref="B12" location="'Aeropuerto_Muestreo '!A7" display="CLO" xr:uid="{F398B15F-2EF3-4866-9C68-473BE1A39250}"/>
    <hyperlink ref="B13" location="'Aeropuerto_Muestreo '!A5" display="BOG" xr:uid="{836465D9-F18E-476B-BFB2-7A7E518BBAC6}"/>
    <hyperlink ref="C4" location="'Aeropuerto_Muestreo '!A7" display="CLO" xr:uid="{0CF8745C-D922-4FD7-8F9E-D4ACC6551890}"/>
    <hyperlink ref="C5" location="'Aeropuerto_Muestreo '!A5" display="BOG" xr:uid="{ABC9D447-AAF4-4460-AE67-B567E7FC05CE}"/>
    <hyperlink ref="C6" location="'Aeropuerto_Muestreo '!A5" display="BOG" xr:uid="{05B50915-65B5-4DD7-988D-CC2F19274ECB}"/>
    <hyperlink ref="C7" location="'Aeropuerto_Muestreo '!A19" display="MTR" xr:uid="{E52692E2-696C-4E77-B63F-C3BC7AA1D984}"/>
    <hyperlink ref="C8" location="'Aeropuerto_Muestreo '!A5" display="BOG" xr:uid="{ADC3D247-C57B-4ADC-8428-1CFF7795E60B}"/>
    <hyperlink ref="C9" location="'Aeropuerto_Muestreo '!A10" display="SMR" xr:uid="{1879C69F-B463-4885-9D19-1F3EBD0F33F7}"/>
    <hyperlink ref="C10" location="'Aeropuerto_Muestreo '!A4" display="MDE" xr:uid="{68A26D8C-D498-47D0-BEAF-C8820972FE52}"/>
    <hyperlink ref="C11" location="'Aeropuerto_Muestreo '!A7" display="CLO" xr:uid="{B7C06BEF-3057-4C8E-B7B2-B9D2F85F714C}"/>
    <hyperlink ref="C12" location="'Aeropuerto_Muestreo '!A4" display="MDE" xr:uid="{1237FF73-198B-4801-9E71-B15F13937393}"/>
    <hyperlink ref="C13" location="'Aeropuerto_Muestreo '!A9" display="CTG" xr:uid="{D70A2234-6C1B-4290-B4BF-1F1644852A0C}"/>
    <hyperlink ref="B3" location="'Aeropuerto_Muestreo '!A1" display="Aeropuerto Origen" xr:uid="{5747387E-0C3E-4B28-8539-BEBF32D4063E}"/>
    <hyperlink ref="C3" location="'Aeropuerto_Muestreo '!A1" display="Aeropuerto Destino" xr:uid="{194CD95C-4034-44BB-B83F-E6E934400009}"/>
    <hyperlink ref="D3" location="TipoVuelo_Muestreo!A1" display="Tipo Vuelo" xr:uid="{E148DCE2-5798-4D81-A881-14A436004680}"/>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D289-6403-41F1-A651-8ED946BF69FF}">
  <sheetPr codeName="Hoja9">
    <tabColor rgb="FF00B050"/>
  </sheetPr>
  <dimension ref="A1:H23"/>
  <sheetViews>
    <sheetView workbookViewId="0">
      <selection activeCell="C29" sqref="C29"/>
    </sheetView>
  </sheetViews>
  <sheetFormatPr defaultColWidth="10.85546875" defaultRowHeight="15" customHeight="1"/>
  <cols>
    <col min="1" max="1" width="46.28515625" style="4" customWidth="1"/>
    <col min="2" max="2" width="25.140625" style="4" bestFit="1" customWidth="1"/>
    <col min="3" max="4" width="21.140625" style="4" customWidth="1"/>
    <col min="5" max="5" width="29.85546875" style="4" customWidth="1"/>
    <col min="6" max="6" width="23" style="4" customWidth="1"/>
    <col min="7" max="7" width="20.7109375" style="4" customWidth="1"/>
    <col min="8" max="8" width="24.5703125" style="4" customWidth="1"/>
    <col min="9" max="16384" width="10.85546875" style="4"/>
  </cols>
  <sheetData>
    <row r="1" spans="1:8" customFormat="1" thickBot="1">
      <c r="A1" s="58" t="s">
        <v>46</v>
      </c>
      <c r="B1" s="4"/>
      <c r="C1" s="69" t="s">
        <v>74</v>
      </c>
      <c r="D1" s="69"/>
      <c r="E1" s="69" t="s">
        <v>145</v>
      </c>
      <c r="F1" s="4"/>
      <c r="G1" s="4"/>
      <c r="H1" s="4"/>
    </row>
    <row r="2" spans="1:8" s="1" customFormat="1" ht="41.45" customHeight="1">
      <c r="A2" s="8" t="s">
        <v>713</v>
      </c>
      <c r="B2" s="9" t="s">
        <v>714</v>
      </c>
      <c r="C2" s="9" t="s">
        <v>715</v>
      </c>
      <c r="D2" s="9" t="s">
        <v>716</v>
      </c>
      <c r="E2" s="10" t="s">
        <v>717</v>
      </c>
    </row>
    <row r="3" spans="1:8" s="28" customFormat="1" thickBot="1">
      <c r="A3" s="11" t="s">
        <v>133</v>
      </c>
      <c r="B3" s="103" t="s">
        <v>29</v>
      </c>
      <c r="C3" s="104" t="s">
        <v>35</v>
      </c>
      <c r="D3" s="598" t="s">
        <v>2</v>
      </c>
      <c r="E3" s="19" t="s">
        <v>153</v>
      </c>
    </row>
    <row r="4" spans="1:8" thickBot="1">
      <c r="A4" s="45" t="s">
        <v>159</v>
      </c>
      <c r="B4" s="118" t="str">
        <f>'Ruta_Muestreo '!F4</f>
        <v>BOG-CLO</v>
      </c>
      <c r="C4" s="109" t="str">
        <f>Aerolinea_Muestreo!E5</f>
        <v>AV</v>
      </c>
      <c r="D4" s="634" t="s">
        <v>158</v>
      </c>
      <c r="E4" s="597" t="str">
        <f>_xlfn.CONCAT(B4,"-",C4)</f>
        <v>BOG-CLO-AV</v>
      </c>
    </row>
    <row r="5" spans="1:8" thickBot="1">
      <c r="A5" s="45" t="s">
        <v>633</v>
      </c>
      <c r="B5" s="118" t="str">
        <f>'Ruta_Muestreo '!F4</f>
        <v>BOG-CLO</v>
      </c>
      <c r="C5" s="109" t="str">
        <f>Aerolinea_Muestreo!E4</f>
        <v>LA</v>
      </c>
      <c r="D5" s="634" t="s">
        <v>718</v>
      </c>
      <c r="E5" s="597" t="str">
        <f t="shared" ref="E5:E9" si="0">_xlfn.CONCAT(B5,"-",C5)</f>
        <v>BOG-CLO-LA</v>
      </c>
    </row>
    <row r="6" spans="1:8" thickBot="1">
      <c r="A6" s="45" t="s">
        <v>635</v>
      </c>
      <c r="B6" s="118" t="str">
        <f>'Ruta_Muestreo '!F5</f>
        <v>CLO-BOG</v>
      </c>
      <c r="C6" s="109" t="str">
        <f>Aerolinea_Muestreo!E4</f>
        <v>LA</v>
      </c>
      <c r="D6" s="634" t="s">
        <v>158</v>
      </c>
      <c r="E6" s="597" t="str">
        <f t="shared" si="0"/>
        <v>CLO-BOG-LA</v>
      </c>
    </row>
    <row r="7" spans="1:8" thickBot="1">
      <c r="A7" s="45" t="s">
        <v>676</v>
      </c>
      <c r="B7" s="118" t="str">
        <f>'Ruta_Muestreo '!F5</f>
        <v>CLO-BOG</v>
      </c>
      <c r="C7" s="109" t="str">
        <f>Aerolinea_Muestreo!E5</f>
        <v>AV</v>
      </c>
      <c r="D7" s="634" t="s">
        <v>718</v>
      </c>
      <c r="E7" s="597" t="str">
        <f t="shared" si="0"/>
        <v>CLO-BOG-AV</v>
      </c>
    </row>
    <row r="8" spans="1:8" thickBot="1">
      <c r="A8" s="45" t="s">
        <v>310</v>
      </c>
      <c r="B8" s="118" t="str">
        <f>'Ruta_Muestreo '!F6</f>
        <v>MDE-BOG</v>
      </c>
      <c r="C8" s="109" t="str">
        <f>Aerolinea_Muestreo!E4</f>
        <v>LA</v>
      </c>
      <c r="D8" s="634" t="s">
        <v>158</v>
      </c>
      <c r="E8" s="597" t="str">
        <f t="shared" si="0"/>
        <v>MDE-BOG-LA</v>
      </c>
    </row>
    <row r="9" spans="1:8" thickBot="1">
      <c r="A9" s="45" t="s">
        <v>585</v>
      </c>
      <c r="B9" s="118" t="str">
        <f>'Ruta_Muestreo '!F6</f>
        <v>MDE-BOG</v>
      </c>
      <c r="C9" s="109" t="str">
        <f>Aerolinea_Muestreo!E5</f>
        <v>AV</v>
      </c>
      <c r="D9" s="634" t="s">
        <v>718</v>
      </c>
      <c r="E9" s="597" t="str">
        <f t="shared" si="0"/>
        <v>MDE-BOG-AV</v>
      </c>
    </row>
    <row r="10" spans="1:8" thickBot="1">
      <c r="A10" s="45" t="s">
        <v>709</v>
      </c>
      <c r="B10" s="118" t="str">
        <f>'Ruta_Muestreo '!F7</f>
        <v>BOG-MTR</v>
      </c>
      <c r="C10" s="109" t="str">
        <f>Aerolinea_Muestreo!E4</f>
        <v>LA</v>
      </c>
      <c r="D10" s="634" t="s">
        <v>158</v>
      </c>
      <c r="E10" s="597" t="str">
        <f t="shared" ref="E10:E23" si="1">_xlfn.CONCAT(B10,"-",C10)</f>
        <v>BOG-MTR-LA</v>
      </c>
    </row>
    <row r="11" spans="1:8" thickBot="1">
      <c r="A11" s="45" t="s">
        <v>710</v>
      </c>
      <c r="B11" s="118" t="str">
        <f>'Ruta_Muestreo '!F7</f>
        <v>BOG-MTR</v>
      </c>
      <c r="C11" s="109" t="str">
        <f>Aerolinea_Muestreo!E5</f>
        <v>AV</v>
      </c>
      <c r="D11" s="634" t="s">
        <v>718</v>
      </c>
      <c r="E11" s="597" t="str">
        <f t="shared" si="1"/>
        <v>BOG-MTR-AV</v>
      </c>
    </row>
    <row r="12" spans="1:8" thickBot="1">
      <c r="A12" s="45" t="s">
        <v>711</v>
      </c>
      <c r="B12" s="118" t="str">
        <f>'Ruta_Muestreo '!F8</f>
        <v>MTR-BOG</v>
      </c>
      <c r="C12" s="109" t="str">
        <f>Aerolinea_Muestreo!E4</f>
        <v>LA</v>
      </c>
      <c r="D12" s="634" t="s">
        <v>158</v>
      </c>
      <c r="E12" s="597" t="str">
        <f t="shared" si="1"/>
        <v>MTR-BOG-LA</v>
      </c>
    </row>
    <row r="13" spans="1:8" thickBot="1">
      <c r="A13" s="45" t="s">
        <v>712</v>
      </c>
      <c r="B13" s="118" t="str">
        <f>'Ruta_Muestreo '!F8</f>
        <v>MTR-BOG</v>
      </c>
      <c r="C13" s="109" t="str">
        <f>Aerolinea_Muestreo!E5</f>
        <v>AV</v>
      </c>
      <c r="D13" s="634" t="s">
        <v>718</v>
      </c>
      <c r="E13" s="597" t="str">
        <f t="shared" si="1"/>
        <v>MTR-BOG-AV</v>
      </c>
    </row>
    <row r="14" spans="1:8" thickBot="1">
      <c r="A14" s="45" t="s">
        <v>719</v>
      </c>
      <c r="B14" s="118" t="str">
        <f>'Ruta_Muestreo '!F9</f>
        <v>MDE-SMR</v>
      </c>
      <c r="C14" s="109" t="str">
        <f>Aerolinea_Muestreo!E4</f>
        <v>LA</v>
      </c>
      <c r="D14" s="634" t="s">
        <v>158</v>
      </c>
      <c r="E14" s="597" t="str">
        <f t="shared" si="1"/>
        <v>MDE-SMR-LA</v>
      </c>
    </row>
    <row r="15" spans="1:8" thickBot="1">
      <c r="A15" s="45" t="s">
        <v>720</v>
      </c>
      <c r="B15" s="118" t="str">
        <f>'Ruta_Muestreo '!F9</f>
        <v>MDE-SMR</v>
      </c>
      <c r="C15" s="109" t="str">
        <f>Aerolinea_Muestreo!E5</f>
        <v>AV</v>
      </c>
      <c r="D15" s="634" t="s">
        <v>718</v>
      </c>
      <c r="E15" s="597" t="str">
        <f t="shared" si="1"/>
        <v>MDE-SMR-AV</v>
      </c>
    </row>
    <row r="16" spans="1:8" thickBot="1">
      <c r="A16" s="45" t="s">
        <v>721</v>
      </c>
      <c r="B16" s="118" t="str">
        <f>'Ruta_Muestreo '!F10</f>
        <v>SMR-MDE</v>
      </c>
      <c r="C16" s="109" t="str">
        <f>Aerolinea_Muestreo!E4</f>
        <v>LA</v>
      </c>
      <c r="D16" s="634" t="s">
        <v>158</v>
      </c>
      <c r="E16" s="597" t="str">
        <f t="shared" si="1"/>
        <v>SMR-MDE-LA</v>
      </c>
    </row>
    <row r="17" spans="1:5" thickBot="1">
      <c r="A17" s="45" t="s">
        <v>722</v>
      </c>
      <c r="B17" s="118" t="str">
        <f>'Ruta_Muestreo '!F10</f>
        <v>SMR-MDE</v>
      </c>
      <c r="C17" s="109" t="str">
        <f>Aerolinea_Muestreo!E5</f>
        <v>AV</v>
      </c>
      <c r="D17" s="634" t="s">
        <v>718</v>
      </c>
      <c r="E17" s="597" t="str">
        <f t="shared" si="1"/>
        <v>SMR-MDE-AV</v>
      </c>
    </row>
    <row r="18" spans="1:5" thickBot="1">
      <c r="A18" s="45" t="s">
        <v>723</v>
      </c>
      <c r="B18" s="118" t="str">
        <f>'Ruta_Muestreo '!F11</f>
        <v>MDE-CLO</v>
      </c>
      <c r="C18" s="109" t="str">
        <f>Aerolinea_Muestreo!E4</f>
        <v>LA</v>
      </c>
      <c r="D18" s="634" t="s">
        <v>158</v>
      </c>
      <c r="E18" s="597" t="str">
        <f t="shared" si="1"/>
        <v>MDE-CLO-LA</v>
      </c>
    </row>
    <row r="19" spans="1:5" thickBot="1">
      <c r="A19" s="45" t="s">
        <v>724</v>
      </c>
      <c r="B19" s="118" t="str">
        <f>'Ruta_Muestreo '!F11</f>
        <v>MDE-CLO</v>
      </c>
      <c r="C19" s="109" t="str">
        <f>Aerolinea_Muestreo!E5</f>
        <v>AV</v>
      </c>
      <c r="D19" s="634" t="s">
        <v>718</v>
      </c>
      <c r="E19" s="597" t="str">
        <f t="shared" si="1"/>
        <v>MDE-CLO-AV</v>
      </c>
    </row>
    <row r="20" spans="1:5" thickBot="1">
      <c r="A20" s="45" t="s">
        <v>725</v>
      </c>
      <c r="B20" s="118" t="str">
        <f>'Ruta_Muestreo '!F12</f>
        <v>CLO-MDE</v>
      </c>
      <c r="C20" s="109" t="str">
        <f>Aerolinea_Muestreo!E4</f>
        <v>LA</v>
      </c>
      <c r="D20" s="634" t="s">
        <v>158</v>
      </c>
      <c r="E20" s="597" t="str">
        <f t="shared" si="1"/>
        <v>CLO-MDE-LA</v>
      </c>
    </row>
    <row r="21" spans="1:5" thickBot="1">
      <c r="A21" s="45" t="s">
        <v>726</v>
      </c>
      <c r="B21" s="118" t="str">
        <f>'Ruta_Muestreo '!F12</f>
        <v>CLO-MDE</v>
      </c>
      <c r="C21" s="109" t="str">
        <f>Aerolinea_Muestreo!E5</f>
        <v>AV</v>
      </c>
      <c r="D21" s="634" t="s">
        <v>718</v>
      </c>
      <c r="E21" s="597" t="str">
        <f t="shared" si="1"/>
        <v>CLO-MDE-AV</v>
      </c>
    </row>
    <row r="22" spans="1:5" thickBot="1">
      <c r="A22" s="45" t="s">
        <v>727</v>
      </c>
      <c r="B22" s="118" t="str">
        <f>'Ruta_Muestreo '!F13</f>
        <v>BOG-CTG</v>
      </c>
      <c r="C22" s="109" t="str">
        <f>Aerolinea_Muestreo!E4</f>
        <v>LA</v>
      </c>
      <c r="D22" s="634" t="s">
        <v>158</v>
      </c>
      <c r="E22" s="597" t="str">
        <f t="shared" si="1"/>
        <v>BOG-CTG-LA</v>
      </c>
    </row>
    <row r="23" spans="1:5" thickBot="1">
      <c r="A23" s="45" t="s">
        <v>728</v>
      </c>
      <c r="B23" s="118" t="str">
        <f>'Ruta_Muestreo '!F13</f>
        <v>BOG-CTG</v>
      </c>
      <c r="C23" s="109" t="str">
        <f>Aerolinea_Muestreo!E5</f>
        <v>AV</v>
      </c>
      <c r="D23" s="634" t="s">
        <v>718</v>
      </c>
      <c r="E23" s="597" t="str">
        <f t="shared" si="1"/>
        <v>BOG-CTG-AV</v>
      </c>
    </row>
  </sheetData>
  <hyperlinks>
    <hyperlink ref="E1" location="RutaAerolinea_Caracterización!A1" display="Caracterización objeto &gt;&gt;" xr:uid="{7360C442-8426-42A1-90AD-741CBF7C54F2}"/>
    <hyperlink ref="A1" location="'Modelo Dominio Anémico'!A1" display="&lt;&lt; Modelo de dominio &gt;&gt;" xr:uid="{CDF31241-E0DC-4E4B-9804-189420071EA7}"/>
    <hyperlink ref="C1" location="'Objetos Dominio'!A1" display="&lt;&lt; Objetos de dominio" xr:uid="{7BDBE283-792D-4340-80A6-B08A59486D73}"/>
    <hyperlink ref="C4" location="Aerolinea_Muestreo!A5" display="Aerolinea_Muestreo!A5" xr:uid="{19E0F887-CBEA-4218-9C93-2718511DBA0B}"/>
    <hyperlink ref="B4" location="'Ruta_Muestreo '!A4" display="'Ruta_Muestreo '!A4" xr:uid="{6C44B5C0-6378-41FC-8E23-7E1A1BE90B62}"/>
    <hyperlink ref="B5" location="'Ruta_Muestreo '!A4" display="'Ruta_Muestreo '!A4" xr:uid="{0350EE9F-E61D-49EF-9E02-7CDA2FD3EFC5}"/>
    <hyperlink ref="B6" location="'Ruta_Muestreo '!A5" display="'Ruta_Muestreo '!A5" xr:uid="{6FCA712F-1EC9-4532-B02C-1706B9902F0C}"/>
    <hyperlink ref="B7" location="'Ruta_Muestreo '!A5" display="'Ruta_Muestreo '!A5" xr:uid="{69D29082-14C5-43C6-B299-DEE70DF53CB1}"/>
    <hyperlink ref="B8" location="'Ruta_Muestreo '!A6" display="'Ruta_Muestreo '!A6" xr:uid="{79940D55-CFC6-489B-A454-442004684F0F}"/>
    <hyperlink ref="B10" location="'Ruta_Muestreo '!A7" display="'Ruta_Muestreo '!A7" xr:uid="{6713DB22-B52F-4685-A0D2-C84BF8E704D4}"/>
    <hyperlink ref="B9" location="'Ruta_Muestreo '!A6" display="'Ruta_Muestreo '!A6" xr:uid="{3C0D6CEE-973C-43A1-AE77-9DF7DEB6E594}"/>
    <hyperlink ref="B11" location="'Ruta_Muestreo '!A7" display="'Ruta_Muestreo '!A7" xr:uid="{F297452B-63F9-47AC-B34A-89F058E6E594}"/>
    <hyperlink ref="B12" location="'Ruta_Muestreo '!A8" display="'Ruta_Muestreo '!A8" xr:uid="{723943EA-55E7-4C3E-B0A9-28218BE7D21E}"/>
    <hyperlink ref="B13" location="'Ruta_Muestreo '!A8" display="'Ruta_Muestreo '!A8" xr:uid="{84A1AB20-6C6C-4D38-9F99-422999A71970}"/>
    <hyperlink ref="B14" location="'Ruta_Muestreo '!A9" display="'Ruta_Muestreo '!A9" xr:uid="{A98D9F7D-FF5A-4F7B-969F-3EF597A7955E}"/>
    <hyperlink ref="B15" location="'Ruta_Muestreo '!A9" display="'Ruta_Muestreo '!A9" xr:uid="{7CB69492-8D9A-45EB-BD95-D5EDFC7326E2}"/>
    <hyperlink ref="B16" location="'Ruta_Muestreo '!A10" display="'Ruta_Muestreo '!A10" xr:uid="{28B3A2B7-0DC1-4B05-A098-7DEC5DB8DBBF}"/>
    <hyperlink ref="B17" location="'Ruta_Muestreo '!A10" display="'Ruta_Muestreo '!A10" xr:uid="{8AD0619F-0F28-40AB-96C0-97891FBB15A0}"/>
    <hyperlink ref="B18" location="'Ruta_Muestreo '!A11" display="'Ruta_Muestreo '!A11" xr:uid="{2DA64651-BF82-41A4-807C-0D2BF0B7C222}"/>
    <hyperlink ref="B19" location="'Ruta_Muestreo '!A11" display="'Ruta_Muestreo '!A11" xr:uid="{01D8CBB4-1125-4211-B90E-4139E190A2F9}"/>
    <hyperlink ref="B20" location="'Ruta_Muestreo '!A12" display="'Ruta_Muestreo '!A12" xr:uid="{6C05AD8C-4E8C-40BB-8581-6B449300B69D}"/>
    <hyperlink ref="B21" location="'Ruta_Muestreo '!A12" display="'Ruta_Muestreo '!A12" xr:uid="{9F75FA83-7EE2-4347-ABB2-1C51D55B90AC}"/>
    <hyperlink ref="B22" location="'Ruta_Muestreo '!A13" display="'Ruta_Muestreo '!A13" xr:uid="{CF3CB2FF-5F80-474B-9290-9829BDC3E97C}"/>
    <hyperlink ref="B23" location="'Ruta_Muestreo '!A13" display="'Ruta_Muestreo '!A13" xr:uid="{B8CF3FAF-2F68-4DB8-86B0-BC875EC533F5}"/>
    <hyperlink ref="C5" location="Aerolinea_Muestreo!A4" display="Aerolinea_Muestreo!A4" xr:uid="{B665FD8B-5D52-4D8B-AF66-6FA447AF2310}"/>
    <hyperlink ref="C6" location="Aerolinea_Muestreo!A4" display="Aerolinea_Muestreo!A4" xr:uid="{B50C4DAE-E74B-4F3D-9DF1-BA7308B7D5C4}"/>
    <hyperlink ref="C7" location="Aerolinea_Muestreo!A4" display="Aerolinea_Muestreo!A4" xr:uid="{B738F620-325E-4E51-8F3E-7A42276404FC}"/>
    <hyperlink ref="C8" location="Aerolinea_Muestreo!A5" display="Aerolinea_Muestreo!A5" xr:uid="{57FCCE13-F4EA-4785-A53B-12D060AF373F}"/>
    <hyperlink ref="C9" location="Aerolinea_Muestreo!A4" display="Aerolinea_Muestreo!A4" xr:uid="{0EF19624-DF8E-4A51-8D32-11217AFAE9CB}"/>
    <hyperlink ref="C10" location="Aerolinea_Muestreo!A5" display="Aerolinea_Muestreo!A5" xr:uid="{0CB2A4EC-060D-42FC-B38D-E5FE1372ED6B}"/>
    <hyperlink ref="C11" location="Aerolinea_Muestreo!A4" display="Aerolinea_Muestreo!A4" xr:uid="{3E6F0829-0B12-4D52-889C-0B64CDFB5D50}"/>
    <hyperlink ref="C12" location="Aerolinea_Muestreo!A5" display="Aerolinea_Muestreo!A5" xr:uid="{526F8A5E-F7FF-46EF-9F0A-154787DDC48C}"/>
    <hyperlink ref="C13" location="RutaAerolinea_Muestreo!A4" display="RutaAerolinea_Muestreo!A4" xr:uid="{859DFDC1-7348-464F-A182-FFC860603C36}"/>
    <hyperlink ref="C14" location="Aerolinea_Muestreo!A5" display="Aerolinea_Muestreo!A5" xr:uid="{106AAF06-89B0-49A0-A6A1-F8F59C24374B}"/>
    <hyperlink ref="C15" location="Aerolinea_Muestreo!A4" display="Aerolinea_Muestreo!A4" xr:uid="{B5D2AEAC-C034-485E-A8C9-F7B4CF87CCE5}"/>
    <hyperlink ref="C16" location="Aerolinea_Muestreo!A5" display="Aerolinea_Muestreo!A5" xr:uid="{4215A4B1-03E4-4D2E-A1E4-28B8F4EAF587}"/>
    <hyperlink ref="C17" location="Aerolinea_Muestreo!A4" display="Aerolinea_Muestreo!A4" xr:uid="{3CFA0F36-CEB7-4765-B501-119C6D14327A}"/>
    <hyperlink ref="C18" location="Aerolinea_Muestreo!A5" display="Aerolinea_Muestreo!A5" xr:uid="{65838108-CACA-4251-8910-1A6D6C631B40}"/>
    <hyperlink ref="C19" location="Aerolinea_Muestreo!A4" display="Aerolinea_Muestreo!A4" xr:uid="{17AAB148-1447-4064-A55D-97160E0E0465}"/>
    <hyperlink ref="C20" location="Aerolinea_Muestreo!A5" display="Aerolinea_Muestreo!A5" xr:uid="{DD50A972-85E0-430C-885C-284EE7D83C8A}"/>
    <hyperlink ref="C21" location="Aerolinea_Muestreo!A4" display="Aerolinea_Muestreo!A4" xr:uid="{267A2AC2-6151-4753-9925-9840296CFDB7}"/>
    <hyperlink ref="C22" location="Aerolinea_Muestreo!A5" display="Aerolinea_Muestreo!A5" xr:uid="{8E473F35-C1A0-454E-81F0-81AF11D73900}"/>
    <hyperlink ref="C23" location="Aerolinea_Muestreo!A4" display="Aerolinea_Muestreo!A4" xr:uid="{DEFBE049-BB6C-4A8D-8FA5-00C75B1795A8}"/>
    <hyperlink ref="B3" location="Aerolinea_Muestreo!A1" display="Ruta" xr:uid="{538AA57A-490A-4A72-9057-7EE25F228C80}"/>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88BDB-A71C-4C11-ACE6-D6299BE3880C}">
  <sheetPr codeName="Hoja37">
    <tabColor rgb="FF00B050"/>
  </sheetPr>
  <dimension ref="A1:X41"/>
  <sheetViews>
    <sheetView workbookViewId="0">
      <pane ySplit="6" topLeftCell="A23" activePane="bottomLeft" state="frozen"/>
      <selection pane="bottomLeft" activeCell="H22" sqref="H22"/>
      <selection activeCell="A7" sqref="A7"/>
    </sheetView>
  </sheetViews>
  <sheetFormatPr defaultColWidth="10.85546875" defaultRowHeight="14.45"/>
  <cols>
    <col min="1" max="4" width="38.5703125" style="4" customWidth="1"/>
    <col min="5" max="5" width="24.140625" style="4" customWidth="1"/>
    <col min="6" max="6" width="20.140625" style="4" bestFit="1" customWidth="1"/>
    <col min="7" max="7" width="19.140625" style="4" customWidth="1"/>
    <col min="8" max="8" width="32.42578125" style="4" bestFit="1" customWidth="1"/>
    <col min="9" max="9" width="29.42578125" style="4" bestFit="1" customWidth="1"/>
    <col min="10" max="10" width="40.5703125" style="4" customWidth="1"/>
    <col min="11" max="11" width="33.42578125" style="4" customWidth="1"/>
    <col min="12" max="12" width="34.28515625" style="4"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62.28515625" style="4" customWidth="1"/>
    <col min="23" max="23" width="28.85546875" style="4" customWidth="1"/>
    <col min="24" max="24" width="27.28515625" style="4" customWidth="1"/>
    <col min="25" max="16384" width="10.85546875" style="4"/>
  </cols>
  <sheetData>
    <row r="1" spans="1:24" customFormat="1">
      <c r="A1" s="58" t="s">
        <v>46</v>
      </c>
      <c r="B1" s="69" t="s">
        <v>74</v>
      </c>
      <c r="C1" s="69" t="s">
        <v>75</v>
      </c>
    </row>
    <row r="2" spans="1:24" s="60" customFormat="1">
      <c r="A2" s="59" t="str">
        <f>'Objetos Dominio'!$A$2</f>
        <v>Nombre</v>
      </c>
      <c r="B2" s="730" t="str">
        <f>'Objetos Dominio'!$A$18</f>
        <v>Ruta Aerolínea</v>
      </c>
      <c r="C2" s="730"/>
      <c r="D2" s="730"/>
      <c r="E2" s="730"/>
      <c r="F2" s="730"/>
      <c r="G2" s="730"/>
      <c r="H2" s="730"/>
      <c r="I2" s="730"/>
      <c r="J2" s="730"/>
      <c r="K2" s="730"/>
      <c r="L2" s="730"/>
      <c r="M2" s="730"/>
      <c r="N2" s="730"/>
      <c r="O2" s="730"/>
      <c r="P2" s="730"/>
      <c r="Q2" s="730"/>
      <c r="R2" s="730"/>
      <c r="S2" s="730"/>
      <c r="T2" s="730"/>
      <c r="U2" s="730"/>
    </row>
    <row r="3" spans="1:24" s="60" customFormat="1" ht="14.1" customHeight="1">
      <c r="A3" s="59" t="str">
        <f>'Objetos Dominio'!$B$2</f>
        <v>Tipo</v>
      </c>
      <c r="B3" s="731" t="str">
        <f>'Objetos Dominio'!$B$18</f>
        <v>Referenciado</v>
      </c>
      <c r="C3" s="731"/>
      <c r="D3" s="731"/>
      <c r="E3" s="731"/>
      <c r="F3" s="731"/>
      <c r="G3" s="731"/>
      <c r="H3" s="731"/>
      <c r="I3" s="731"/>
      <c r="J3" s="731"/>
      <c r="K3" s="731"/>
      <c r="L3" s="731"/>
      <c r="M3" s="731"/>
      <c r="N3" s="731"/>
      <c r="O3" s="731"/>
      <c r="P3" s="731"/>
      <c r="Q3" s="731"/>
      <c r="R3" s="731"/>
      <c r="S3" s="731"/>
      <c r="T3" s="731"/>
      <c r="U3" s="731"/>
    </row>
    <row r="4" spans="1:24" s="60" customFormat="1" ht="14.1" customHeight="1">
      <c r="A4" s="59" t="str">
        <f>'Objetos Dominio'!$C$2</f>
        <v>Contexto Origen</v>
      </c>
      <c r="B4" s="731">
        <f>'Objetos Dominio'!$C$18</f>
        <v>0</v>
      </c>
      <c r="C4" s="731"/>
      <c r="D4" s="731"/>
      <c r="E4" s="731"/>
      <c r="F4" s="731"/>
      <c r="G4" s="731"/>
      <c r="H4" s="731"/>
      <c r="I4" s="731"/>
      <c r="J4" s="731"/>
      <c r="K4" s="731"/>
      <c r="L4" s="731"/>
      <c r="M4" s="731"/>
      <c r="N4" s="731"/>
      <c r="O4" s="731"/>
      <c r="P4" s="731"/>
      <c r="Q4" s="731"/>
      <c r="R4" s="731"/>
      <c r="S4" s="731"/>
      <c r="T4" s="731"/>
      <c r="U4" s="731"/>
    </row>
    <row r="5" spans="1:24" s="60" customFormat="1" ht="14.1" customHeight="1">
      <c r="A5" s="94" t="str">
        <f>'Objetos Dominio'!$D$2</f>
        <v>Descripción</v>
      </c>
      <c r="B5" s="732" t="str">
        <f>'Objetos Dominio'!$D$18</f>
        <v xml:space="preserve">Objeto de dominio que representa el trayecto que realiza un avión de una aerolínea en una cantidad determinada de vuelos </v>
      </c>
      <c r="C5" s="732"/>
      <c r="D5" s="732"/>
      <c r="E5" s="732"/>
      <c r="F5" s="732"/>
      <c r="G5" s="732"/>
      <c r="H5" s="732"/>
      <c r="I5" s="732"/>
      <c r="J5" s="732"/>
      <c r="K5" s="732"/>
      <c r="L5" s="732"/>
      <c r="M5" s="732"/>
      <c r="N5" s="732"/>
      <c r="O5" s="732"/>
      <c r="P5" s="732"/>
      <c r="Q5" s="732"/>
      <c r="R5" s="732"/>
      <c r="S5" s="732"/>
      <c r="T5" s="732"/>
      <c r="U5" s="732"/>
    </row>
    <row r="6" spans="1:24" s="60" customFormat="1" ht="15">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602" t="str">
        <f>A22</f>
        <v>Consultar la Información de la  Ruta Aerolinea</v>
      </c>
      <c r="W6" s="602" t="str">
        <f>A23</f>
        <v>Activar la información de la Ruta Aerolinea</v>
      </c>
      <c r="X6" s="602" t="str">
        <f>A25</f>
        <v>Desactivar la información de la Ruta Aerolnea</v>
      </c>
    </row>
    <row r="7" spans="1:24" s="60" customFormat="1" ht="53.25">
      <c r="A7" s="63" t="str">
        <f>RutaAerolinea_Muestreo!$A$3</f>
        <v>Id</v>
      </c>
      <c r="B7" s="64" t="s">
        <v>17</v>
      </c>
      <c r="C7" s="64">
        <v>36</v>
      </c>
      <c r="D7" s="64">
        <v>36</v>
      </c>
      <c r="E7" s="64"/>
      <c r="F7" s="64"/>
      <c r="G7" s="64"/>
      <c r="H7" s="64"/>
      <c r="I7" s="64"/>
      <c r="J7" s="67" t="s">
        <v>252</v>
      </c>
      <c r="K7" s="64"/>
      <c r="L7" s="65"/>
      <c r="M7" s="66" t="s">
        <v>9</v>
      </c>
      <c r="N7" s="66" t="s">
        <v>9</v>
      </c>
      <c r="O7" s="66" t="s">
        <v>9</v>
      </c>
      <c r="P7" s="66" t="s">
        <v>14</v>
      </c>
      <c r="Q7" s="66" t="s">
        <v>9</v>
      </c>
      <c r="R7" s="66" t="s">
        <v>14</v>
      </c>
      <c r="S7" s="66" t="s">
        <v>14</v>
      </c>
      <c r="T7" s="66" t="s">
        <v>9</v>
      </c>
      <c r="U7" s="95" t="str">
        <f>RutaAerolinea_Muestreo!$A$2</f>
        <v>Corresponde a un identificador único de la ruta de la aerolínea por el tipo de aeropuerto para el capturador dentro del objeto de dominio RutaAerolinea.</v>
      </c>
      <c r="V7" s="584" t="s">
        <v>97</v>
      </c>
      <c r="W7" s="599" t="s">
        <v>98</v>
      </c>
      <c r="X7" s="599" t="s">
        <v>98</v>
      </c>
    </row>
    <row r="8" spans="1:24" s="60" customFormat="1" ht="48" customHeight="1">
      <c r="A8" s="63" t="str">
        <f>RutaAerolinea_Muestreo!B3</f>
        <v>Ruta</v>
      </c>
      <c r="B8" s="96" t="s">
        <v>29</v>
      </c>
      <c r="C8" s="64"/>
      <c r="D8" s="64"/>
      <c r="E8" s="64"/>
      <c r="F8" s="64"/>
      <c r="G8" s="64"/>
      <c r="H8" s="64"/>
      <c r="I8" s="64"/>
      <c r="J8" s="64"/>
      <c r="K8" s="64"/>
      <c r="L8" s="68"/>
      <c r="M8" s="66" t="s">
        <v>14</v>
      </c>
      <c r="N8" s="66" t="s">
        <v>14</v>
      </c>
      <c r="O8" s="66" t="s">
        <v>14</v>
      </c>
      <c r="P8" s="66" t="s">
        <v>14</v>
      </c>
      <c r="Q8" s="66" t="s">
        <v>9</v>
      </c>
      <c r="R8" s="66" t="s">
        <v>9</v>
      </c>
      <c r="S8" s="66" t="s">
        <v>14</v>
      </c>
      <c r="T8" s="66" t="s">
        <v>14</v>
      </c>
      <c r="U8" s="95" t="str">
        <f>RutaAerolinea_Muestreo!B2</f>
        <v>Corresponde a la ruta que hace un avión desde un aeropuerto de origen hasta llegar a uno de destino.</v>
      </c>
      <c r="V8" s="584" t="s">
        <v>689</v>
      </c>
      <c r="W8" s="599" t="s">
        <v>165</v>
      </c>
      <c r="X8" s="599" t="s">
        <v>165</v>
      </c>
    </row>
    <row r="9" spans="1:24" s="60" customFormat="1" ht="54.75" customHeight="1">
      <c r="A9" s="63" t="str">
        <f>RutaAerolinea_Muestreo!$C$3</f>
        <v>Aerolínea</v>
      </c>
      <c r="B9" s="96" t="s">
        <v>35</v>
      </c>
      <c r="C9" s="64"/>
      <c r="D9" s="64"/>
      <c r="E9" s="64"/>
      <c r="F9" s="64"/>
      <c r="G9" s="64"/>
      <c r="H9" s="64"/>
      <c r="I9" s="64"/>
      <c r="J9" s="64"/>
      <c r="K9" s="64"/>
      <c r="L9" s="68"/>
      <c r="M9" s="66" t="s">
        <v>14</v>
      </c>
      <c r="N9" s="66" t="s">
        <v>14</v>
      </c>
      <c r="O9" s="66" t="s">
        <v>14</v>
      </c>
      <c r="P9" s="66" t="s">
        <v>14</v>
      </c>
      <c r="Q9" s="66" t="s">
        <v>9</v>
      </c>
      <c r="R9" s="66" t="s">
        <v>9</v>
      </c>
      <c r="S9" s="66" t="s">
        <v>14</v>
      </c>
      <c r="T9" s="66" t="s">
        <v>14</v>
      </c>
      <c r="U9" s="95" t="str">
        <f>RutaAerolinea_Muestreo!$C$2</f>
        <v>Corresponde a la  ruta de la aerolínea que tiene asociada el vuelo.</v>
      </c>
      <c r="V9" s="600" t="s">
        <v>690</v>
      </c>
      <c r="W9" s="599" t="s">
        <v>165</v>
      </c>
      <c r="X9" s="599" t="s">
        <v>165</v>
      </c>
    </row>
    <row r="10" spans="1:24" s="60" customFormat="1" ht="43.5" customHeight="1">
      <c r="A10" s="63" t="s">
        <v>2</v>
      </c>
      <c r="B10" s="633" t="s">
        <v>21</v>
      </c>
      <c r="C10" s="64">
        <v>1</v>
      </c>
      <c r="D10" s="64">
        <v>10</v>
      </c>
      <c r="E10" s="64"/>
      <c r="F10" s="64"/>
      <c r="G10" s="64"/>
      <c r="H10" s="64"/>
      <c r="I10" s="64"/>
      <c r="J10" s="64"/>
      <c r="K10" s="64"/>
      <c r="L10" s="68"/>
      <c r="M10" s="66" t="s">
        <v>9</v>
      </c>
      <c r="N10" s="66" t="s">
        <v>9</v>
      </c>
      <c r="O10" s="66" t="s">
        <v>14</v>
      </c>
      <c r="P10" s="66" t="s">
        <v>14</v>
      </c>
      <c r="Q10" s="66" t="s">
        <v>9</v>
      </c>
      <c r="R10" s="66" t="s">
        <v>9</v>
      </c>
      <c r="S10" s="66" t="s">
        <v>14</v>
      </c>
      <c r="T10" s="66" t="s">
        <v>14</v>
      </c>
      <c r="U10" s="95" t="str">
        <f>RutaAerolinea_Muestreo!$D$2</f>
        <v>Corresponde al estado de disponibilidad  de la  ruta de la aerolínea que tiene asociada el vuelo.</v>
      </c>
      <c r="V10" s="600" t="s">
        <v>729</v>
      </c>
      <c r="W10" s="599" t="s">
        <v>165</v>
      </c>
      <c r="X10" s="599" t="s">
        <v>165</v>
      </c>
    </row>
    <row r="11" spans="1:24" s="3" customFormat="1" ht="30" customHeight="1"/>
    <row r="12" spans="1:24" s="60" customFormat="1" ht="14.45" customHeight="1">
      <c r="A12" s="733" t="s">
        <v>106</v>
      </c>
      <c r="B12" s="734"/>
      <c r="C12" s="735"/>
    </row>
    <row r="13" spans="1:24" s="60" customFormat="1" ht="15" customHeight="1">
      <c r="A13" s="70" t="s">
        <v>107</v>
      </c>
      <c r="B13" s="71" t="s">
        <v>49</v>
      </c>
      <c r="C13" s="72" t="s">
        <v>108</v>
      </c>
    </row>
    <row r="14" spans="1:24" s="60" customFormat="1" ht="28.5" customHeight="1">
      <c r="A14" s="625" t="s">
        <v>730</v>
      </c>
      <c r="B14" s="627" t="str">
        <f>RutaAerolinea_Muestreo!E2</f>
        <v>Una ruta de aerolínea  no puede tener más de una ruta repetida</v>
      </c>
      <c r="C14" s="629" t="str">
        <f>A8</f>
        <v>Ruta</v>
      </c>
    </row>
    <row r="15" spans="1:24" s="60" customFormat="1" ht="21.6" customHeight="1">
      <c r="A15" s="626"/>
      <c r="B15" s="628"/>
      <c r="C15" s="630"/>
    </row>
    <row r="16" spans="1:24" ht="15"/>
    <row r="20" spans="1:11">
      <c r="A20" s="155" t="s">
        <v>111</v>
      </c>
      <c r="B20" s="156" t="s">
        <v>49</v>
      </c>
      <c r="C20" s="157"/>
      <c r="D20" s="158" t="s">
        <v>112</v>
      </c>
      <c r="E20" s="159"/>
      <c r="F20" s="157"/>
      <c r="G20" s="158" t="s">
        <v>113</v>
      </c>
      <c r="H20" s="726" t="s">
        <v>114</v>
      </c>
      <c r="I20" s="727"/>
      <c r="J20" s="728" t="s">
        <v>115</v>
      </c>
      <c r="K20" s="729"/>
    </row>
    <row r="21" spans="1:11">
      <c r="A21" s="160"/>
      <c r="B21" s="161"/>
      <c r="C21" s="157" t="s">
        <v>116</v>
      </c>
      <c r="D21" s="170" t="s">
        <v>117</v>
      </c>
      <c r="E21" s="188" t="s">
        <v>49</v>
      </c>
      <c r="F21" s="166" t="s">
        <v>77</v>
      </c>
      <c r="G21" s="188" t="s">
        <v>49</v>
      </c>
      <c r="H21" s="166" t="s">
        <v>118</v>
      </c>
      <c r="I21" s="159" t="s">
        <v>49</v>
      </c>
      <c r="J21" s="189" t="s">
        <v>119</v>
      </c>
      <c r="K21" s="166" t="s">
        <v>120</v>
      </c>
    </row>
    <row r="22" spans="1:11" ht="96" customHeight="1">
      <c r="A22" s="372" t="s">
        <v>731</v>
      </c>
      <c r="B22" s="321" t="s">
        <v>732</v>
      </c>
      <c r="C22" s="339" t="s">
        <v>123</v>
      </c>
      <c r="D22" s="409" t="s">
        <v>733</v>
      </c>
      <c r="E22" s="201" t="s">
        <v>124</v>
      </c>
      <c r="F22" s="339" t="s">
        <v>734</v>
      </c>
      <c r="G22" s="690" t="s">
        <v>735</v>
      </c>
      <c r="H22" s="165" t="s">
        <v>736</v>
      </c>
      <c r="I22" s="691" t="s">
        <v>128</v>
      </c>
      <c r="J22" s="657" t="s">
        <v>129</v>
      </c>
      <c r="K22" s="327" t="s">
        <v>130</v>
      </c>
    </row>
    <row r="23" spans="1:11" ht="81" customHeight="1">
      <c r="A23" s="336" t="s">
        <v>737</v>
      </c>
      <c r="B23" s="337" t="s">
        <v>738</v>
      </c>
      <c r="C23" s="340" t="s">
        <v>133</v>
      </c>
      <c r="D23" s="340" t="s">
        <v>17</v>
      </c>
      <c r="E23" s="328" t="s">
        <v>739</v>
      </c>
      <c r="F23" s="351"/>
      <c r="G23" s="352"/>
      <c r="H23" s="225" t="s">
        <v>740</v>
      </c>
      <c r="I23" s="319" t="s">
        <v>741</v>
      </c>
      <c r="J23" s="357" t="s">
        <v>129</v>
      </c>
      <c r="K23" s="331" t="s">
        <v>130</v>
      </c>
    </row>
    <row r="24" spans="1:11" ht="91.5">
      <c r="A24" s="336"/>
      <c r="B24" s="337"/>
      <c r="C24" s="327" t="s">
        <v>2</v>
      </c>
      <c r="D24" s="342" t="s">
        <v>21</v>
      </c>
      <c r="E24" s="329" t="s">
        <v>742</v>
      </c>
      <c r="F24" s="353"/>
      <c r="G24" s="317"/>
      <c r="H24" s="203" t="s">
        <v>743</v>
      </c>
      <c r="I24" s="350" t="s">
        <v>185</v>
      </c>
      <c r="J24" s="328" t="s">
        <v>129</v>
      </c>
      <c r="K24" s="332" t="s">
        <v>130</v>
      </c>
    </row>
    <row r="25" spans="1:11" ht="59.25" customHeight="1">
      <c r="A25" s="162" t="s">
        <v>744</v>
      </c>
      <c r="B25" s="172" t="s">
        <v>745</v>
      </c>
      <c r="C25" s="327" t="s">
        <v>142</v>
      </c>
      <c r="D25" s="342" t="s">
        <v>17</v>
      </c>
      <c r="E25" s="329" t="s">
        <v>746</v>
      </c>
      <c r="F25" s="28"/>
      <c r="G25" s="219"/>
      <c r="H25" s="171" t="s">
        <v>740</v>
      </c>
      <c r="I25" s="319" t="s">
        <v>747</v>
      </c>
      <c r="J25" s="355" t="s">
        <v>129</v>
      </c>
      <c r="K25" s="338" t="s">
        <v>130</v>
      </c>
    </row>
    <row r="26" spans="1:11" ht="91.5">
      <c r="A26" s="176"/>
      <c r="B26" s="177"/>
      <c r="C26" s="327" t="s">
        <v>2</v>
      </c>
      <c r="D26" s="342" t="s">
        <v>21</v>
      </c>
      <c r="E26" s="330" t="s">
        <v>748</v>
      </c>
      <c r="F26" s="354"/>
      <c r="G26" s="177"/>
      <c r="H26" s="165" t="s">
        <v>743</v>
      </c>
      <c r="I26" s="343" t="s">
        <v>185</v>
      </c>
      <c r="J26" s="330" t="s">
        <v>129</v>
      </c>
      <c r="K26" s="339" t="s">
        <v>130</v>
      </c>
    </row>
    <row r="28" spans="1:11" ht="15"/>
    <row r="29" spans="1:11" ht="15"/>
    <row r="30" spans="1:11" ht="15"/>
    <row r="31" spans="1:11" ht="15"/>
    <row r="32" spans="1:11" ht="15"/>
    <row r="33" ht="15"/>
    <row r="34" ht="15"/>
    <row r="35" ht="15"/>
    <row r="36" ht="15"/>
    <row r="37" ht="15"/>
    <row r="41" ht="15"/>
  </sheetData>
  <mergeCells count="7">
    <mergeCell ref="H20:I20"/>
    <mergeCell ref="J20:K20"/>
    <mergeCell ref="B2:U2"/>
    <mergeCell ref="B3:U3"/>
    <mergeCell ref="B4:U4"/>
    <mergeCell ref="B5:U5"/>
    <mergeCell ref="A12:C12"/>
  </mergeCells>
  <hyperlinks>
    <hyperlink ref="A1" location="'Modelo Dominio Anémico'!A1" display="&lt;&lt; Modelo de dominio &gt;&gt;" xr:uid="{D9AB072F-EA78-4AD0-A356-CD30941917B5}"/>
    <hyperlink ref="B1" location="'Objetos Dominio'!A1" display="&lt;&lt; Objetos de dominio" xr:uid="{3B9F8B72-43D7-427A-BE70-0ADB28A51D1E}"/>
    <hyperlink ref="C14" location="RutaAerolinea_Caracterización!A8" display="RutaAerolinea_Caracterización!A8" xr:uid="{C7472F50-149F-4EC3-AFC3-98519FDFAAFD}"/>
    <hyperlink ref="C1" location="RutaAerolinea_Muestreo!A1" display="&lt;&lt; Muestreo Datos" xr:uid="{1F4FE150-D45A-4D16-97D6-AB5949B8BCEE}"/>
    <hyperlink ref="B8" location="Ruta_Caracterizacion!A1" display="Ruta" xr:uid="{D33C155A-7F68-4447-945B-289C3B387B56}"/>
    <hyperlink ref="C14:C15" location="RutaAerolinea_Caracterización!A8" display="RutaAerolinea_Caracterización!A8" xr:uid="{631F0FFA-FD4D-48F9-A4EA-AE8FCBFB37AE}"/>
    <hyperlink ref="B9" location="Aerolinea_Caracterización!A1" display="Aerolinea" xr:uid="{AF62F03B-D544-45A9-9C1A-24C8EF595FA5}"/>
    <hyperlink ref="V6" location="Objeto Dominio 2!A16" display="Registrar Información  Horario Sede" xr:uid="{8127B2F9-4B34-442D-91AA-507141B50B0D}"/>
    <hyperlink ref="W6:X6" location="Objeto Dominio 2!A16" display="Registrar Información  Horario Sede" xr:uid="{FC92FFA6-2AF5-48A3-A0CC-F14527C279B2}"/>
    <hyperlink ref="B10" location="Aerolinea_Caracterización!A1" display="Aerolinea" xr:uid="{1728CCA6-0AF6-43F5-95BB-A3B601C2D1B3}"/>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9F279911-14A2-44B1-B72A-1D74160C4951}">
          <x14:formula1>
            <xm:f>Valores!$F$2:$F$4</xm:f>
          </x14:formula1>
          <xm:sqref>G7</xm:sqref>
        </x14:dataValidation>
        <x14:dataValidation type="list" allowBlank="1" showInputMessage="1" showErrorMessage="1" xr:uid="{58453924-F92F-47A8-AEAD-111A1535DD57}">
          <x14:formula1>
            <xm:f>Valores!$D$2:$D$3</xm:f>
          </x14:formula1>
          <xm:sqref>M7:T10</xm:sqref>
        </x14:dataValidation>
        <x14:dataValidation type="list" allowBlank="1" showInputMessage="1" showErrorMessage="1" xr:uid="{C3EB9184-2839-4E74-8367-F1190CCC96D2}">
          <x14:formula1>
            <xm:f>Valores!$E$2:$E$23</xm:f>
          </x14:formula1>
          <xm:sqref>B7 B9:B10</xm:sqref>
        </x14:dataValidation>
        <x14:dataValidation type="list" allowBlank="1" showInputMessage="1" showErrorMessage="1" xr:uid="{60BA9F3D-30FE-4752-929C-8F73E884E63A}">
          <x14:formula1>
            <xm:f>Valores!$E$2:$E$29</xm:f>
          </x14:formula1>
          <xm:sqref>B8</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3E007-9BAE-4883-861F-AF6934F126AC}">
  <sheetPr>
    <tabColor theme="0" tint="-0.34998626667073579"/>
  </sheetPr>
  <dimension ref="A1:X38"/>
  <sheetViews>
    <sheetView zoomScale="95" zoomScaleNormal="95" workbookViewId="0">
      <pane ySplit="6" topLeftCell="A7" activePane="bottomLeft" state="frozen"/>
      <selection pane="bottomLeft" activeCell="H25" sqref="H25:I26"/>
      <selection activeCell="A7" sqref="A7"/>
    </sheetView>
  </sheetViews>
  <sheetFormatPr defaultColWidth="10.85546875" defaultRowHeight="14.45"/>
  <cols>
    <col min="1" max="4" width="38.5703125" style="4" customWidth="1"/>
    <col min="5" max="5" width="20.85546875" style="4" customWidth="1"/>
    <col min="6" max="6" width="20.140625" style="4" bestFit="1" customWidth="1"/>
    <col min="7" max="7" width="18.7109375" style="4" customWidth="1"/>
    <col min="8" max="8" width="32.42578125" style="4" bestFit="1" customWidth="1"/>
    <col min="9" max="9" width="29.42578125" style="4" bestFit="1" customWidth="1"/>
    <col min="10" max="10" width="40.5703125" style="4" customWidth="1"/>
    <col min="11" max="11" width="33.42578125" style="4" customWidth="1"/>
    <col min="12" max="12" width="11.42578125" style="4" bestFit="1"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54.140625" style="4" customWidth="1"/>
    <col min="23" max="23" width="40.42578125" style="4" customWidth="1"/>
    <col min="24" max="24" width="29.5703125" style="4" customWidth="1"/>
    <col min="25" max="16384" width="10.85546875" style="4"/>
  </cols>
  <sheetData>
    <row r="1" spans="1:24" customFormat="1">
      <c r="A1" s="58" t="s">
        <v>46</v>
      </c>
      <c r="B1" s="69" t="s">
        <v>74</v>
      </c>
      <c r="C1" s="69" t="s">
        <v>75</v>
      </c>
    </row>
    <row r="2" spans="1:24" s="60" customFormat="1">
      <c r="A2" s="59" t="str">
        <f>'Objetos Dominio'!$A$2</f>
        <v>Nombre</v>
      </c>
      <c r="B2" s="730" t="str">
        <f>'Objetos Dominio'!$A$19</f>
        <v>Tipo</v>
      </c>
      <c r="C2" s="730"/>
      <c r="D2" s="730"/>
      <c r="E2" s="730"/>
      <c r="F2" s="730"/>
      <c r="G2" s="730"/>
      <c r="H2" s="730"/>
      <c r="I2" s="730"/>
      <c r="J2" s="730"/>
      <c r="K2" s="730"/>
      <c r="L2" s="730"/>
      <c r="M2" s="730"/>
      <c r="N2" s="730"/>
      <c r="O2" s="730"/>
      <c r="P2" s="730"/>
      <c r="Q2" s="730"/>
      <c r="R2" s="730"/>
      <c r="S2" s="730"/>
      <c r="T2" s="730"/>
      <c r="U2" s="730"/>
    </row>
    <row r="3" spans="1:24" s="60" customFormat="1" ht="14.1" customHeight="1">
      <c r="A3" s="59" t="str">
        <f>'Objetos Dominio'!$B$2</f>
        <v>Tipo</v>
      </c>
      <c r="B3" s="731" t="str">
        <f>'Objetos Dominio'!$B$19</f>
        <v>Referenciado</v>
      </c>
      <c r="C3" s="731"/>
      <c r="D3" s="731"/>
      <c r="E3" s="731"/>
      <c r="F3" s="731"/>
      <c r="G3" s="731"/>
      <c r="H3" s="731"/>
      <c r="I3" s="731"/>
      <c r="J3" s="731"/>
      <c r="K3" s="731"/>
      <c r="L3" s="731"/>
      <c r="M3" s="731"/>
      <c r="N3" s="731"/>
      <c r="O3" s="731"/>
      <c r="P3" s="731"/>
      <c r="Q3" s="731"/>
      <c r="R3" s="731"/>
      <c r="S3" s="731"/>
      <c r="T3" s="731"/>
      <c r="U3" s="731"/>
    </row>
    <row r="4" spans="1:24" s="60" customFormat="1" ht="14.1" customHeight="1">
      <c r="A4" s="59" t="str">
        <f>'Objetos Dominio'!$C$2</f>
        <v>Contexto Origen</v>
      </c>
      <c r="B4" s="731">
        <f>'Objetos Dominio'!$C$19</f>
        <v>0</v>
      </c>
      <c r="C4" s="731"/>
      <c r="D4" s="731"/>
      <c r="E4" s="731"/>
      <c r="F4" s="731"/>
      <c r="G4" s="731"/>
      <c r="H4" s="731"/>
      <c r="I4" s="731"/>
      <c r="J4" s="731"/>
      <c r="K4" s="731"/>
      <c r="L4" s="731"/>
      <c r="M4" s="731"/>
      <c r="N4" s="731"/>
      <c r="O4" s="731"/>
      <c r="P4" s="731"/>
      <c r="Q4" s="731"/>
      <c r="R4" s="731"/>
      <c r="S4" s="731"/>
      <c r="T4" s="731"/>
      <c r="U4" s="731"/>
    </row>
    <row r="5" spans="1:24" s="60" customFormat="1" ht="14.1" customHeight="1">
      <c r="A5" s="59" t="str">
        <f>'Objetos Dominio'!$D$2</f>
        <v>Descripción</v>
      </c>
      <c r="B5" s="731" t="str">
        <f>'Objetos Dominio'!$D$19</f>
        <v xml:space="preserve">Objeto de dominio que representa el tipo de aeronaves </v>
      </c>
      <c r="C5" s="731"/>
      <c r="D5" s="731"/>
      <c r="E5" s="731"/>
      <c r="F5" s="731"/>
      <c r="G5" s="731"/>
      <c r="H5" s="731"/>
      <c r="I5" s="731"/>
      <c r="J5" s="731"/>
      <c r="K5" s="731"/>
      <c r="L5" s="731"/>
      <c r="M5" s="731"/>
      <c r="N5" s="731"/>
      <c r="O5" s="731"/>
      <c r="P5" s="731"/>
      <c r="Q5" s="731"/>
      <c r="R5" s="731"/>
      <c r="S5" s="731"/>
      <c r="T5" s="731"/>
      <c r="U5" s="731"/>
    </row>
    <row r="6" spans="1:24" s="60" customFormat="1" ht="15">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602" t="str">
        <f>A24</f>
        <v>Consultar la Información del tipo Aeronave</v>
      </c>
      <c r="W6" s="602" t="str">
        <f>A25</f>
        <v>Inactivar la información del Tipo Aeronave</v>
      </c>
      <c r="X6" s="602" t="str">
        <f>A27</f>
        <v>Activar la información del Tipo Aeronave</v>
      </c>
    </row>
    <row r="7" spans="1:24" s="60" customFormat="1" ht="42.95" customHeight="1">
      <c r="A7" s="63" t="str">
        <f>Tipo_Muestreo!$A$3</f>
        <v>Id</v>
      </c>
      <c r="B7" s="64" t="s">
        <v>17</v>
      </c>
      <c r="C7" s="64">
        <v>36</v>
      </c>
      <c r="D7" s="64">
        <v>36</v>
      </c>
      <c r="E7" s="64"/>
      <c r="F7" s="64"/>
      <c r="G7" s="64"/>
      <c r="H7" s="64"/>
      <c r="I7" s="64"/>
      <c r="J7" s="67" t="s">
        <v>607</v>
      </c>
      <c r="K7" s="64"/>
      <c r="L7" s="65"/>
      <c r="M7" s="66" t="s">
        <v>9</v>
      </c>
      <c r="N7" s="66" t="s">
        <v>9</v>
      </c>
      <c r="O7" s="66" t="s">
        <v>9</v>
      </c>
      <c r="P7" s="66" t="s">
        <v>14</v>
      </c>
      <c r="Q7" s="66" t="s">
        <v>9</v>
      </c>
      <c r="R7" s="66" t="s">
        <v>14</v>
      </c>
      <c r="S7" s="66" t="s">
        <v>14</v>
      </c>
      <c r="T7" s="66" t="s">
        <v>9</v>
      </c>
      <c r="U7" s="594" t="str">
        <f>Familia_Muestreo!$A$2</f>
        <v xml:space="preserve">Corresponde a un identificador único de la familia a la que el avión pertenece dentro del objeto de dominio familia. </v>
      </c>
      <c r="V7" s="701" t="s">
        <v>97</v>
      </c>
      <c r="W7" s="599" t="s">
        <v>98</v>
      </c>
      <c r="X7" s="599" t="s">
        <v>98</v>
      </c>
    </row>
    <row r="8" spans="1:24" s="60" customFormat="1" ht="45" customHeight="1">
      <c r="A8" s="63" t="str">
        <f>Tipo_Muestreo!$B$3</f>
        <v>Nombre</v>
      </c>
      <c r="B8" s="64" t="s">
        <v>17</v>
      </c>
      <c r="C8" s="64">
        <v>1</v>
      </c>
      <c r="D8" s="64">
        <v>50</v>
      </c>
      <c r="E8" s="64"/>
      <c r="F8" s="64"/>
      <c r="G8" s="64"/>
      <c r="H8" s="64"/>
      <c r="I8" s="64"/>
      <c r="J8" s="67" t="s">
        <v>99</v>
      </c>
      <c r="K8" s="64"/>
      <c r="L8" s="65"/>
      <c r="M8" s="66" t="s">
        <v>9</v>
      </c>
      <c r="N8" s="66" t="s">
        <v>9</v>
      </c>
      <c r="O8" s="66" t="s">
        <v>14</v>
      </c>
      <c r="P8" s="66" t="s">
        <v>14</v>
      </c>
      <c r="Q8" s="66" t="s">
        <v>9</v>
      </c>
      <c r="R8" s="66" t="s">
        <v>9</v>
      </c>
      <c r="S8" s="66" t="s">
        <v>14</v>
      </c>
      <c r="T8" s="66" t="s">
        <v>14</v>
      </c>
      <c r="U8" s="594" t="str">
        <f>Familia_Muestreo!$B$2</f>
        <v xml:space="preserve">Corresponde al nombre de familia del avión, el cual puede ser gestionado en cualquier momento. </v>
      </c>
      <c r="V8" s="584" t="s">
        <v>386</v>
      </c>
      <c r="W8" s="599" t="s">
        <v>165</v>
      </c>
      <c r="X8" s="599" t="s">
        <v>165</v>
      </c>
    </row>
    <row r="9" spans="1:24" s="60" customFormat="1" ht="45" customHeight="1" thickBot="1">
      <c r="A9" s="88" t="str">
        <f>Tipo_Muestreo!$C$3</f>
        <v>Familia</v>
      </c>
      <c r="B9" s="97" t="s">
        <v>42</v>
      </c>
      <c r="C9" s="89"/>
      <c r="D9" s="89"/>
      <c r="E9" s="89"/>
      <c r="F9" s="89"/>
      <c r="G9" s="89"/>
      <c r="H9" s="89"/>
      <c r="I9" s="89"/>
      <c r="J9" s="89"/>
      <c r="K9" s="89"/>
      <c r="L9" s="90"/>
      <c r="M9" s="91" t="s">
        <v>14</v>
      </c>
      <c r="N9" s="91" t="s">
        <v>14</v>
      </c>
      <c r="O9" s="91" t="s">
        <v>14</v>
      </c>
      <c r="P9" s="91" t="s">
        <v>14</v>
      </c>
      <c r="Q9" s="91" t="s">
        <v>9</v>
      </c>
      <c r="R9" s="91" t="s">
        <v>9</v>
      </c>
      <c r="S9" s="91" t="s">
        <v>14</v>
      </c>
      <c r="T9" s="91" t="s">
        <v>14</v>
      </c>
      <c r="U9" s="601" t="str">
        <f>Familia_Muestreo!$C$2</f>
        <v>Corresponde al fabricante del avión.</v>
      </c>
      <c r="V9" s="600" t="s">
        <v>749</v>
      </c>
      <c r="W9" s="599" t="s">
        <v>165</v>
      </c>
      <c r="X9" s="599" t="s">
        <v>165</v>
      </c>
    </row>
    <row r="10" spans="1:24" s="3" customFormat="1" ht="15" thickBot="1"/>
    <row r="11" spans="1:24" s="60" customFormat="1">
      <c r="A11" s="733" t="s">
        <v>106</v>
      </c>
      <c r="B11" s="734"/>
      <c r="C11" s="735"/>
    </row>
    <row r="12" spans="1:24" s="60" customFormat="1">
      <c r="A12" s="70" t="s">
        <v>107</v>
      </c>
      <c r="B12" s="71" t="s">
        <v>49</v>
      </c>
      <c r="C12" s="72" t="s">
        <v>108</v>
      </c>
    </row>
    <row r="13" spans="1:24" s="60" customFormat="1" ht="39" customHeight="1" thickBot="1">
      <c r="A13" s="73" t="s">
        <v>750</v>
      </c>
      <c r="B13" s="74" t="str">
        <f>Familia_Muestreo!$D$2</f>
        <v>El nombre de la familia no se puede repetir.</v>
      </c>
      <c r="C13" s="75" t="str">
        <f>A8</f>
        <v>Nombre</v>
      </c>
    </row>
    <row r="16" spans="1:24" ht="15" thickBot="1"/>
    <row r="18" spans="1:11" ht="15"/>
    <row r="22" spans="1:11">
      <c r="A22" s="155" t="s">
        <v>111</v>
      </c>
      <c r="B22" s="156" t="s">
        <v>49</v>
      </c>
      <c r="C22" s="157"/>
      <c r="D22" s="158" t="s">
        <v>112</v>
      </c>
      <c r="E22" s="159"/>
      <c r="F22" s="157"/>
      <c r="G22" s="158" t="s">
        <v>113</v>
      </c>
      <c r="H22" s="726" t="s">
        <v>114</v>
      </c>
      <c r="I22" s="727"/>
      <c r="J22" s="728" t="s">
        <v>115</v>
      </c>
      <c r="K22" s="729"/>
    </row>
    <row r="23" spans="1:11" ht="15">
      <c r="A23" s="160"/>
      <c r="B23" s="161"/>
      <c r="C23" s="157" t="s">
        <v>116</v>
      </c>
      <c r="D23" s="170" t="s">
        <v>117</v>
      </c>
      <c r="E23" s="188" t="s">
        <v>49</v>
      </c>
      <c r="F23" s="166" t="s">
        <v>77</v>
      </c>
      <c r="G23" s="188" t="s">
        <v>49</v>
      </c>
      <c r="H23" s="166" t="s">
        <v>118</v>
      </c>
      <c r="I23" s="159" t="s">
        <v>49</v>
      </c>
      <c r="J23" s="189" t="s">
        <v>119</v>
      </c>
      <c r="K23" s="166" t="s">
        <v>120</v>
      </c>
    </row>
    <row r="24" spans="1:11" ht="93" customHeight="1">
      <c r="A24" s="636" t="s">
        <v>751</v>
      </c>
      <c r="B24" s="692" t="s">
        <v>752</v>
      </c>
      <c r="C24" s="327" t="s">
        <v>123</v>
      </c>
      <c r="D24" s="409" t="s">
        <v>0</v>
      </c>
      <c r="E24" s="653" t="s">
        <v>124</v>
      </c>
      <c r="F24" s="339" t="s">
        <v>753</v>
      </c>
      <c r="G24" s="700" t="s">
        <v>754</v>
      </c>
      <c r="H24" s="165" t="s">
        <v>755</v>
      </c>
      <c r="I24" s="660" t="s">
        <v>128</v>
      </c>
      <c r="J24" s="653" t="s">
        <v>129</v>
      </c>
      <c r="K24" s="327" t="s">
        <v>130</v>
      </c>
    </row>
    <row r="25" spans="1:11" ht="73.5" customHeight="1">
      <c r="A25" s="207" t="s">
        <v>756</v>
      </c>
      <c r="B25" s="333" t="s">
        <v>757</v>
      </c>
      <c r="C25" s="349" t="s">
        <v>133</v>
      </c>
      <c r="D25" s="340" t="s">
        <v>17</v>
      </c>
      <c r="E25" s="695" t="s">
        <v>758</v>
      </c>
      <c r="F25" s="351"/>
      <c r="G25" s="352"/>
      <c r="H25" s="164" t="s">
        <v>759</v>
      </c>
      <c r="I25" s="56" t="s">
        <v>136</v>
      </c>
      <c r="J25" s="694" t="s">
        <v>129</v>
      </c>
      <c r="K25" s="331" t="s">
        <v>130</v>
      </c>
    </row>
    <row r="26" spans="1:11" ht="91.5">
      <c r="A26" s="326"/>
      <c r="B26" s="333"/>
      <c r="C26" s="339" t="s">
        <v>760</v>
      </c>
      <c r="D26" s="342" t="s">
        <v>42</v>
      </c>
      <c r="E26" s="698" t="s">
        <v>761</v>
      </c>
      <c r="F26" s="353"/>
      <c r="G26" s="317"/>
      <c r="H26" s="203" t="s">
        <v>762</v>
      </c>
      <c r="I26" s="672" t="s">
        <v>185</v>
      </c>
      <c r="J26" s="695" t="s">
        <v>129</v>
      </c>
      <c r="K26" s="332" t="s">
        <v>130</v>
      </c>
    </row>
    <row r="27" spans="1:11" ht="87">
      <c r="A27" s="175" t="s">
        <v>763</v>
      </c>
      <c r="B27" s="219" t="s">
        <v>764</v>
      </c>
      <c r="C27" s="339" t="s">
        <v>142</v>
      </c>
      <c r="D27" s="342" t="s">
        <v>17</v>
      </c>
      <c r="E27" s="699" t="s">
        <v>758</v>
      </c>
      <c r="F27" s="28"/>
      <c r="G27" s="219"/>
      <c r="H27" s="171" t="s">
        <v>765</v>
      </c>
      <c r="I27" s="693" t="s">
        <v>144</v>
      </c>
      <c r="J27" s="696" t="s">
        <v>129</v>
      </c>
      <c r="K27" s="338" t="s">
        <v>130</v>
      </c>
    </row>
    <row r="28" spans="1:11" ht="91.5">
      <c r="A28" s="176"/>
      <c r="B28" s="340"/>
      <c r="C28" s="339" t="s">
        <v>760</v>
      </c>
      <c r="D28" s="342" t="s">
        <v>42</v>
      </c>
      <c r="E28" s="698" t="s">
        <v>761</v>
      </c>
      <c r="F28" s="354"/>
      <c r="G28" s="177"/>
      <c r="H28" s="165" t="s">
        <v>762</v>
      </c>
      <c r="I28" s="653" t="s">
        <v>185</v>
      </c>
      <c r="J28" s="697" t="s">
        <v>129</v>
      </c>
      <c r="K28" s="339" t="s">
        <v>130</v>
      </c>
    </row>
    <row r="30" spans="1:11" ht="15"/>
    <row r="31" spans="1:11" ht="15"/>
    <row r="32" spans="1:11" ht="15"/>
    <row r="33" ht="15"/>
    <row r="34" ht="15"/>
    <row r="35" ht="15"/>
    <row r="36" ht="15"/>
    <row r="37" ht="15"/>
    <row r="38" ht="15"/>
  </sheetData>
  <mergeCells count="7">
    <mergeCell ref="H22:I22"/>
    <mergeCell ref="J22:K22"/>
    <mergeCell ref="B2:U2"/>
    <mergeCell ref="B3:U3"/>
    <mergeCell ref="B4:U4"/>
    <mergeCell ref="B5:U5"/>
    <mergeCell ref="A11:C11"/>
  </mergeCells>
  <phoneticPr fontId="10" type="noConversion"/>
  <hyperlinks>
    <hyperlink ref="C1" location="Tipo_Muestreo!A1" display="&lt;&lt; Muestreo Datos" xr:uid="{9B629E6A-6B8E-4001-A931-AAEA990DDC13}"/>
    <hyperlink ref="B1" location="'Objetos Dominio'!A1" display="&lt;&lt; Objetos de dominio" xr:uid="{904F4B85-C403-4FF7-BC2B-1F4FE42862BE}"/>
    <hyperlink ref="C13" location="Familia_Caracterización!A8" display="Familia_Caracterización!A8" xr:uid="{BFE0456A-E9F6-4E11-B384-3A797B61298F}"/>
    <hyperlink ref="B9" location="Familia_Caracterización!A1" display="Familia" xr:uid="{3CD04FFD-42F9-413F-917C-8F8C240E4462}"/>
    <hyperlink ref="A1" location="'Modelo Dominio Anémico'!A1" display="&lt;&lt; Modelo de dominio &gt;&gt;" xr:uid="{DC95D2E8-B1A7-49FB-95D6-7DB495DE0FA4}"/>
    <hyperlink ref="V6" location="Objeto Dominio 2!A16" display="Registrar Información  Horario Sede" xr:uid="{31457994-B3C1-4A56-9ADB-F8E11C10A686}"/>
    <hyperlink ref="W6:X6" location="Objeto Dominio 2!A16" display="Registrar Información  Horario Sede" xr:uid="{EA67B372-5E8C-4F36-8CA5-9DB5D2BEFA5D}"/>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4EE10622-11A1-4775-9E09-EADDBBED139B}">
          <x14:formula1>
            <xm:f>Valores!$D$2:$D$3</xm:f>
          </x14:formula1>
          <xm:sqref>M7:T9</xm:sqref>
        </x14:dataValidation>
        <x14:dataValidation type="list" allowBlank="1" showInputMessage="1" showErrorMessage="1" xr:uid="{E09D1601-65EB-4DDF-9312-91B9B203B017}">
          <x14:formula1>
            <xm:f>Valores!$F$2:$F$4</xm:f>
          </x14:formula1>
          <xm:sqref>G7</xm:sqref>
        </x14:dataValidation>
        <x14:dataValidation type="list" allowBlank="1" showInputMessage="1" showErrorMessage="1" xr:uid="{B31A1E9E-2499-48EC-B791-D34DE38D1D17}">
          <x14:formula1>
            <xm:f>Valores!$E$2:$E$23</xm:f>
          </x14:formula1>
          <xm:sqref>B7:B8</xm:sqref>
        </x14:dataValidation>
        <x14:dataValidation type="list" allowBlank="1" showInputMessage="1" showErrorMessage="1" xr:uid="{F7C78E99-39AF-4408-99CD-BBAD6EEEF096}">
          <x14:formula1>
            <xm:f>Valores!$E$2:$E$29</xm:f>
          </x14:formula1>
          <xm:sqref>B9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B7AC-4271-4795-8EA0-8A1BDC0E0068}">
  <sheetPr>
    <tabColor theme="0" tint="-0.34998626667073579"/>
  </sheetPr>
  <dimension ref="A1:E7"/>
  <sheetViews>
    <sheetView workbookViewId="0">
      <pane ySplit="3" topLeftCell="A4" activePane="bottomLeft" state="frozen"/>
      <selection pane="bottomLeft"/>
    </sheetView>
  </sheetViews>
  <sheetFormatPr defaultColWidth="10.85546875" defaultRowHeight="14.45"/>
  <cols>
    <col min="1" max="1" width="38.5703125" style="4" customWidth="1"/>
    <col min="2" max="2" width="36.5703125" style="4" bestFit="1" customWidth="1"/>
    <col min="3" max="3" width="24.5703125" style="4" bestFit="1" customWidth="1"/>
    <col min="4" max="4" width="19" style="4" bestFit="1" customWidth="1"/>
    <col min="5" max="5" width="26.5703125" style="4" customWidth="1"/>
    <col min="6" max="16384" width="10.85546875" style="4"/>
  </cols>
  <sheetData>
    <row r="1" spans="1:5" customFormat="1" ht="15" thickBot="1">
      <c r="A1" s="58" t="s">
        <v>46</v>
      </c>
      <c r="B1" s="69" t="s">
        <v>74</v>
      </c>
      <c r="C1" s="69" t="s">
        <v>145</v>
      </c>
    </row>
    <row r="2" spans="1:5" s="3" customFormat="1" ht="23.25">
      <c r="A2" s="22" t="s">
        <v>766</v>
      </c>
      <c r="B2" s="23" t="s">
        <v>767</v>
      </c>
      <c r="C2" s="23" t="s">
        <v>597</v>
      </c>
      <c r="D2" s="24" t="s">
        <v>598</v>
      </c>
      <c r="E2" s="24" t="s">
        <v>768</v>
      </c>
    </row>
    <row r="3" spans="1:5">
      <c r="A3" s="41" t="s">
        <v>133</v>
      </c>
      <c r="B3" s="102" t="s">
        <v>47</v>
      </c>
      <c r="C3" s="101" t="s">
        <v>42</v>
      </c>
      <c r="D3" s="26" t="s">
        <v>153</v>
      </c>
      <c r="E3" s="26" t="s">
        <v>154</v>
      </c>
    </row>
    <row r="4" spans="1:5">
      <c r="A4" s="38" t="s">
        <v>599</v>
      </c>
      <c r="B4" s="6" t="s">
        <v>600</v>
      </c>
      <c r="C4" s="7" t="str">
        <f>Familia_Muestreo!D4</f>
        <v>A318-Airbus</v>
      </c>
      <c r="D4" s="20" t="str">
        <f>C4</f>
        <v>A318-Airbus</v>
      </c>
      <c r="E4" s="20" t="str">
        <f>_xlfn.CONCAT(B4)</f>
        <v>A318</v>
      </c>
    </row>
    <row r="5" spans="1:5">
      <c r="A5" s="38" t="s">
        <v>601</v>
      </c>
      <c r="B5" s="6" t="s">
        <v>602</v>
      </c>
      <c r="C5" s="7" t="str">
        <f>Familia_Muestreo!D5</f>
        <v>A319-Airbus</v>
      </c>
      <c r="D5" s="20" t="str">
        <f t="shared" ref="D5:D7" si="0">C5</f>
        <v>A319-Airbus</v>
      </c>
      <c r="E5" s="20" t="str">
        <f t="shared" ref="E5:E7" si="1">_xlfn.CONCAT(B5)</f>
        <v>A319</v>
      </c>
    </row>
    <row r="6" spans="1:5">
      <c r="A6" s="38" t="s">
        <v>603</v>
      </c>
      <c r="B6" s="6" t="s">
        <v>604</v>
      </c>
      <c r="C6" s="7" t="str">
        <f>Familia_Muestreo!D6</f>
        <v>A320-Airbus</v>
      </c>
      <c r="D6" s="20" t="str">
        <f t="shared" si="0"/>
        <v>A320-Airbus</v>
      </c>
      <c r="E6" s="20" t="str">
        <f t="shared" si="1"/>
        <v>A320</v>
      </c>
    </row>
    <row r="7" spans="1:5">
      <c r="A7" s="38" t="s">
        <v>605</v>
      </c>
      <c r="B7" s="6" t="s">
        <v>606</v>
      </c>
      <c r="C7" s="7" t="str">
        <f>Familia_Muestreo!D7</f>
        <v>A321-Airbus</v>
      </c>
      <c r="D7" s="20" t="str">
        <f t="shared" si="0"/>
        <v>A321-Airbus</v>
      </c>
      <c r="E7" s="20" t="str">
        <f t="shared" si="1"/>
        <v>A321</v>
      </c>
    </row>
  </sheetData>
  <hyperlinks>
    <hyperlink ref="C1" location="Tipo_Caracterización!A1" display="Caracterización objeto &gt;&gt;" xr:uid="{AAEA051C-00AA-4853-893E-64444DE504B5}"/>
    <hyperlink ref="A1" location="'Modelo Dominio Anémico'!A1" display="&lt;&lt; Modelo de dominio &gt;&gt;" xr:uid="{640562A3-4E0F-476C-9ABD-4363F2F9E297}"/>
    <hyperlink ref="B1" location="'Objetos Dominio'!A1" display="&lt;&lt; Objetos de dominio" xr:uid="{12D897FC-3982-49BE-8359-99516ED3F248}"/>
    <hyperlink ref="C3" location="Familia_Muestreo!A1" display="Familia" xr:uid="{EA6B9454-D0B2-44DC-AC2A-2C0F730AE0B1}"/>
    <hyperlink ref="C4" location="Familia_Muestreo!A4" display="Familia_Muestreo!A4" xr:uid="{63B21DB7-52BD-4010-8F97-538FA653CEEC}"/>
    <hyperlink ref="C5:C7" location="Fabricante_Muestreo!B4" display="Airbus" xr:uid="{DCF8A515-6078-4FC7-958A-9AF09E935CBD}"/>
    <hyperlink ref="C5" location="Familia_Muestreo!A5" display="Familia_Muestreo!A5" xr:uid="{A0ADD2E9-54E4-4B47-A025-E10001B281B8}"/>
    <hyperlink ref="C6" location="Familia_Muestreo!A6" display="Familia_Muestreo!A6" xr:uid="{C75241EB-4D48-49E2-9C17-1B68A4150C2D}"/>
    <hyperlink ref="C7" location="Familia_Muestreo!A7" display="Familia_Muestreo!A7" xr:uid="{20951060-EB03-42E2-B3C3-2DC096DD7251}"/>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51546-86FC-42EC-B29A-9327AA14AFD2}">
  <sheetPr codeName="Hoja39">
    <tabColor rgb="FF0070C0"/>
  </sheetPr>
  <dimension ref="A1:V31"/>
  <sheetViews>
    <sheetView zoomScaleNormal="100" workbookViewId="0">
      <pane ySplit="6" topLeftCell="A10" activePane="bottomLeft" state="frozen"/>
      <selection pane="bottomLeft" activeCell="I21" sqref="I21"/>
      <selection activeCell="A7" sqref="A7"/>
    </sheetView>
  </sheetViews>
  <sheetFormatPr defaultColWidth="10.85546875" defaultRowHeight="14.45"/>
  <cols>
    <col min="1" max="4" width="38.5703125" style="4" customWidth="1"/>
    <col min="5" max="5" width="20.5703125" style="4" customWidth="1"/>
    <col min="6" max="6" width="21.28515625" style="4" bestFit="1" customWidth="1"/>
    <col min="7" max="7" width="16.28515625" style="4" customWidth="1"/>
    <col min="8" max="8" width="32.42578125" style="4" bestFit="1" customWidth="1"/>
    <col min="9" max="9" width="29.42578125" style="4" bestFit="1" customWidth="1"/>
    <col min="10" max="10" width="40.5703125" style="4" customWidth="1"/>
    <col min="11" max="11" width="17.5703125" style="4" customWidth="1"/>
    <col min="12" max="12" width="11.42578125" style="4" bestFit="1"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57.85546875" style="4" customWidth="1"/>
    <col min="23" max="16384" width="10.85546875" style="4"/>
  </cols>
  <sheetData>
    <row r="1" spans="1:22" customFormat="1">
      <c r="A1" s="58" t="s">
        <v>46</v>
      </c>
      <c r="B1" s="69" t="s">
        <v>769</v>
      </c>
      <c r="C1" s="69" t="s">
        <v>75</v>
      </c>
    </row>
    <row r="2" spans="1:22" s="60" customFormat="1">
      <c r="A2" s="59" t="str">
        <f>'Objetos Dominio'!$A$2</f>
        <v>Nombre</v>
      </c>
      <c r="B2" s="730" t="str">
        <f xml:space="preserve"> 'Objetos Dominio'!$A$20</f>
        <v>Tipo Aeropuerto</v>
      </c>
      <c r="C2" s="730"/>
      <c r="D2" s="730"/>
      <c r="E2" s="730"/>
      <c r="F2" s="730"/>
      <c r="G2" s="730"/>
      <c r="H2" s="730"/>
      <c r="I2" s="730"/>
      <c r="J2" s="730"/>
      <c r="K2" s="730"/>
      <c r="L2" s="730"/>
      <c r="M2" s="730"/>
      <c r="N2" s="730"/>
      <c r="O2" s="730"/>
      <c r="P2" s="730"/>
      <c r="Q2" s="730"/>
      <c r="R2" s="730"/>
      <c r="S2" s="730"/>
      <c r="T2" s="730"/>
      <c r="U2" s="730"/>
    </row>
    <row r="3" spans="1:22" s="60" customFormat="1" ht="14.1" customHeight="1">
      <c r="A3" s="59" t="str">
        <f>'Objetos Dominio'!$B$2</f>
        <v>Tipo</v>
      </c>
      <c r="B3" s="731" t="str">
        <f>'Objetos Dominio'!$B$20</f>
        <v>Propio</v>
      </c>
      <c r="C3" s="731"/>
      <c r="D3" s="731"/>
      <c r="E3" s="731"/>
      <c r="F3" s="731"/>
      <c r="G3" s="731"/>
      <c r="H3" s="731"/>
      <c r="I3" s="731"/>
      <c r="J3" s="731"/>
      <c r="K3" s="731"/>
      <c r="L3" s="731"/>
      <c r="M3" s="731"/>
      <c r="N3" s="731"/>
      <c r="O3" s="731"/>
      <c r="P3" s="731"/>
      <c r="Q3" s="731"/>
      <c r="R3" s="731"/>
      <c r="S3" s="731"/>
      <c r="T3" s="731"/>
      <c r="U3" s="731"/>
    </row>
    <row r="4" spans="1:22" s="60" customFormat="1" ht="14.1" customHeight="1">
      <c r="A4" s="59" t="str">
        <f>'Objetos Dominio'!$C$2</f>
        <v>Contexto Origen</v>
      </c>
      <c r="B4" s="731" t="str">
        <f>'Objetos Dominio'!$C$20</f>
        <v>Flight Hours</v>
      </c>
      <c r="C4" s="731"/>
      <c r="D4" s="731"/>
      <c r="E4" s="731"/>
      <c r="F4" s="731"/>
      <c r="G4" s="731"/>
      <c r="H4" s="731"/>
      <c r="I4" s="731"/>
      <c r="J4" s="731"/>
      <c r="K4" s="731"/>
      <c r="L4" s="731"/>
      <c r="M4" s="731"/>
      <c r="N4" s="731"/>
      <c r="O4" s="731"/>
      <c r="P4" s="731"/>
      <c r="Q4" s="731"/>
      <c r="R4" s="731"/>
      <c r="S4" s="731"/>
      <c r="T4" s="731"/>
      <c r="U4" s="731"/>
    </row>
    <row r="5" spans="1:22" s="60" customFormat="1" ht="14.1" customHeight="1">
      <c r="A5" s="94" t="str">
        <f>'Objetos Dominio'!$D$2</f>
        <v>Descripción</v>
      </c>
      <c r="B5" s="732" t="str">
        <f>'Objetos Dominio'!$D$20</f>
        <v>Objeto de dominio que representa el tipo de aeropuerto</v>
      </c>
      <c r="C5" s="732"/>
      <c r="D5" s="732"/>
      <c r="E5" s="732"/>
      <c r="F5" s="732"/>
      <c r="G5" s="732"/>
      <c r="H5" s="732"/>
      <c r="I5" s="732"/>
      <c r="J5" s="732"/>
      <c r="K5" s="732"/>
      <c r="L5" s="732"/>
      <c r="M5" s="732"/>
      <c r="N5" s="732"/>
      <c r="O5" s="732"/>
      <c r="P5" s="732"/>
      <c r="Q5" s="732"/>
      <c r="R5" s="732"/>
      <c r="S5" s="732"/>
      <c r="T5" s="732"/>
      <c r="U5" s="732"/>
    </row>
    <row r="6" spans="1:22" s="60" customFormat="1" ht="15">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580" t="str">
        <f>A21</f>
        <v>Consultar la Información del Tipo Aeropuerto</v>
      </c>
    </row>
    <row r="7" spans="1:22" s="60" customFormat="1" ht="45" customHeight="1">
      <c r="A7" s="63" t="str">
        <f>TipoAeropuerto_Muestreo!$A$3</f>
        <v>id</v>
      </c>
      <c r="B7" s="64" t="s">
        <v>17</v>
      </c>
      <c r="C7" s="64">
        <v>36</v>
      </c>
      <c r="D7" s="64">
        <v>36</v>
      </c>
      <c r="E7" s="64"/>
      <c r="F7" s="64"/>
      <c r="G7" s="64"/>
      <c r="H7" s="64"/>
      <c r="I7" s="64"/>
      <c r="J7" s="67" t="s">
        <v>162</v>
      </c>
      <c r="K7" s="64"/>
      <c r="L7" s="65"/>
      <c r="M7" s="66" t="s">
        <v>9</v>
      </c>
      <c r="N7" s="66" t="s">
        <v>9</v>
      </c>
      <c r="O7" s="66" t="s">
        <v>9</v>
      </c>
      <c r="P7" s="66" t="s">
        <v>14</v>
      </c>
      <c r="Q7" s="66" t="s">
        <v>9</v>
      </c>
      <c r="R7" s="66" t="s">
        <v>14</v>
      </c>
      <c r="S7" s="66" t="s">
        <v>14</v>
      </c>
      <c r="T7" s="66" t="s">
        <v>9</v>
      </c>
      <c r="U7" s="98" t="str">
        <f>TipoAeropuerto_Muestreo!$A$2</f>
        <v>Corresponde a un identificador único del tipo aeropuerto dentro del objeto de dominio Tipo aeropuerto.</v>
      </c>
      <c r="V7" s="581" t="s">
        <v>97</v>
      </c>
    </row>
    <row r="8" spans="1:22" s="60" customFormat="1" ht="45" customHeight="1">
      <c r="A8" s="63" t="s">
        <v>47</v>
      </c>
      <c r="B8" s="64" t="s">
        <v>17</v>
      </c>
      <c r="C8" s="64">
        <v>8</v>
      </c>
      <c r="D8" s="64">
        <v>13</v>
      </c>
      <c r="E8" s="64"/>
      <c r="F8" s="64"/>
      <c r="G8" s="64"/>
      <c r="H8" s="64"/>
      <c r="I8" s="64"/>
      <c r="J8" s="67" t="s">
        <v>99</v>
      </c>
      <c r="K8" s="64"/>
      <c r="L8" s="65"/>
      <c r="M8" s="66" t="s">
        <v>9</v>
      </c>
      <c r="N8" s="66" t="s">
        <v>9</v>
      </c>
      <c r="O8" s="66" t="s">
        <v>14</v>
      </c>
      <c r="P8" s="66" t="s">
        <v>14</v>
      </c>
      <c r="Q8" s="66" t="s">
        <v>9</v>
      </c>
      <c r="R8" s="66" t="s">
        <v>9</v>
      </c>
      <c r="S8" s="66" t="s">
        <v>14</v>
      </c>
      <c r="T8" s="66" t="s">
        <v>14</v>
      </c>
      <c r="U8" s="98" t="str">
        <f>TipoAeropuerto_Muestreo!$B$2</f>
        <v>Corresponde al nombre que tiene un tipo de aeropuerto determinado</v>
      </c>
      <c r="V8" s="581" t="s">
        <v>386</v>
      </c>
    </row>
    <row r="9" spans="1:22" s="60" customFormat="1" ht="45" customHeight="1" thickBot="1">
      <c r="D9" s="3"/>
      <c r="E9" s="3"/>
      <c r="F9" s="3"/>
      <c r="G9" s="3"/>
      <c r="H9" s="3"/>
      <c r="I9" s="3"/>
      <c r="J9" s="3"/>
      <c r="K9" s="3"/>
      <c r="L9" s="3"/>
      <c r="M9" s="3"/>
      <c r="N9" s="3"/>
      <c r="O9" s="3"/>
      <c r="P9" s="3"/>
      <c r="Q9" s="3"/>
      <c r="R9" s="3"/>
      <c r="S9" s="3"/>
      <c r="T9" s="3"/>
    </row>
    <row r="10" spans="1:22" s="60" customFormat="1" ht="45" customHeight="1">
      <c r="A10" s="733" t="s">
        <v>106</v>
      </c>
      <c r="B10" s="734"/>
      <c r="C10" s="735"/>
      <c r="D10" s="4"/>
      <c r="E10" s="4"/>
      <c r="F10" s="4"/>
      <c r="G10" s="4"/>
      <c r="H10" s="4"/>
      <c r="I10" s="4"/>
      <c r="J10" s="4"/>
      <c r="K10" s="4"/>
      <c r="L10" s="4"/>
      <c r="M10" s="4"/>
      <c r="N10" s="4"/>
      <c r="O10" s="4"/>
      <c r="P10" s="4"/>
      <c r="Q10" s="4"/>
      <c r="R10" s="4"/>
      <c r="S10" s="4"/>
      <c r="T10" s="4"/>
      <c r="U10" s="4"/>
    </row>
    <row r="11" spans="1:22" s="60" customFormat="1" ht="45" customHeight="1">
      <c r="A11" s="70" t="s">
        <v>107</v>
      </c>
      <c r="B11" s="71" t="s">
        <v>49</v>
      </c>
      <c r="C11" s="72" t="s">
        <v>108</v>
      </c>
      <c r="D11" s="4"/>
      <c r="E11" s="4"/>
      <c r="F11" s="4"/>
      <c r="G11" s="4"/>
      <c r="H11" s="4"/>
      <c r="I11" s="4"/>
      <c r="J11" s="4"/>
      <c r="K11" s="4"/>
      <c r="L11" s="4"/>
      <c r="M11" s="4"/>
      <c r="N11" s="4"/>
      <c r="O11" s="4"/>
      <c r="P11" s="4"/>
      <c r="Q11" s="4"/>
      <c r="R11" s="4"/>
      <c r="S11" s="4"/>
      <c r="T11" s="4"/>
      <c r="U11" s="4"/>
    </row>
    <row r="12" spans="1:22" s="60" customFormat="1" ht="45" customHeight="1" thickBot="1">
      <c r="A12" s="73" t="s">
        <v>110</v>
      </c>
      <c r="B12" s="74" t="str">
        <f>TipoAeropuerto_Muestreo!C2</f>
        <v>El nombre del tipo de aeropuerto no se puede repetir</v>
      </c>
      <c r="C12" s="75" t="str">
        <f>A8</f>
        <v>Nombre</v>
      </c>
      <c r="D12" s="4"/>
      <c r="E12" s="4"/>
      <c r="F12" s="4"/>
      <c r="G12" s="4"/>
      <c r="H12" s="4"/>
      <c r="I12" s="4"/>
      <c r="J12" s="4"/>
      <c r="K12" s="4"/>
      <c r="L12" s="4"/>
      <c r="M12" s="4"/>
      <c r="N12" s="4"/>
      <c r="O12" s="4"/>
      <c r="P12" s="4"/>
      <c r="Q12" s="4"/>
      <c r="R12" s="4"/>
      <c r="S12" s="4"/>
      <c r="T12" s="4"/>
      <c r="U12" s="4"/>
    </row>
    <row r="13" spans="1:22" s="60" customFormat="1" ht="45" customHeight="1" thickBot="1">
      <c r="A13" s="4"/>
      <c r="B13" s="4"/>
      <c r="C13" s="4"/>
      <c r="D13" s="4"/>
      <c r="E13" s="4"/>
      <c r="F13" s="4"/>
      <c r="G13" s="4"/>
      <c r="H13" s="4"/>
      <c r="I13" s="4"/>
      <c r="J13" s="4"/>
      <c r="K13" s="4"/>
      <c r="L13" s="4"/>
      <c r="M13" s="4"/>
      <c r="N13" s="4"/>
      <c r="O13" s="4"/>
      <c r="P13" s="4"/>
      <c r="Q13" s="4"/>
      <c r="R13" s="4"/>
      <c r="S13" s="4"/>
      <c r="T13" s="4"/>
      <c r="U13" s="4"/>
    </row>
    <row r="14" spans="1:22" s="60" customFormat="1" ht="24.6" customHeight="1">
      <c r="C14" s="4"/>
      <c r="D14" s="4"/>
      <c r="E14" s="4"/>
      <c r="F14" s="4"/>
      <c r="G14" s="4"/>
      <c r="H14" s="4"/>
      <c r="I14" s="4"/>
      <c r="J14" s="4"/>
      <c r="K14" s="4"/>
      <c r="L14" s="4"/>
      <c r="M14" s="4"/>
      <c r="N14" s="4"/>
      <c r="O14" s="4"/>
      <c r="P14" s="4"/>
      <c r="Q14" s="4"/>
      <c r="R14" s="4"/>
      <c r="S14" s="4"/>
      <c r="T14" s="4"/>
      <c r="U14" s="4"/>
    </row>
    <row r="15" spans="1:22" s="60" customFormat="1" ht="42.95" customHeight="1">
      <c r="C15" s="4"/>
      <c r="D15" s="4"/>
      <c r="E15" s="4"/>
      <c r="F15" s="4"/>
      <c r="G15" s="4"/>
      <c r="H15" s="4"/>
      <c r="I15" s="4"/>
      <c r="J15" s="4"/>
      <c r="K15" s="4"/>
      <c r="L15" s="4"/>
      <c r="M15" s="4"/>
      <c r="N15" s="4"/>
      <c r="O15" s="4"/>
      <c r="P15" s="4"/>
      <c r="Q15" s="4"/>
      <c r="R15" s="4"/>
      <c r="S15" s="4"/>
      <c r="T15" s="4"/>
      <c r="U15" s="4"/>
    </row>
    <row r="16" spans="1:22" s="60" customFormat="1" ht="17.100000000000001" hidden="1" customHeight="1">
      <c r="A16" s="150" t="s">
        <v>770</v>
      </c>
      <c r="B16" s="150" t="s">
        <v>49</v>
      </c>
      <c r="C16" s="4"/>
      <c r="D16" s="4"/>
      <c r="E16" s="4"/>
      <c r="F16" s="4"/>
      <c r="G16" s="4"/>
      <c r="H16" s="4"/>
      <c r="I16" s="4"/>
      <c r="J16" s="4"/>
      <c r="K16" s="4"/>
      <c r="L16" s="4"/>
      <c r="M16" s="4"/>
      <c r="N16" s="4"/>
      <c r="O16" s="4"/>
      <c r="P16" s="4"/>
      <c r="Q16" s="4"/>
      <c r="R16" s="4"/>
      <c r="S16" s="4"/>
      <c r="T16" s="4"/>
      <c r="U16" s="4"/>
    </row>
    <row r="17" spans="1:11" ht="15"/>
    <row r="19" spans="1:11">
      <c r="A19" s="273" t="s">
        <v>111</v>
      </c>
      <c r="B19" s="274" t="s">
        <v>49</v>
      </c>
      <c r="C19" s="275"/>
      <c r="D19" s="276" t="s">
        <v>112</v>
      </c>
      <c r="E19" s="274"/>
      <c r="F19" s="275"/>
      <c r="G19" s="276" t="s">
        <v>113</v>
      </c>
      <c r="H19" s="814" t="s">
        <v>114</v>
      </c>
      <c r="I19" s="815"/>
      <c r="J19" s="816" t="s">
        <v>115</v>
      </c>
      <c r="K19" s="817"/>
    </row>
    <row r="20" spans="1:11">
      <c r="A20" s="279"/>
      <c r="B20" s="280"/>
      <c r="C20" s="275" t="s">
        <v>116</v>
      </c>
      <c r="D20" s="281" t="s">
        <v>117</v>
      </c>
      <c r="E20" s="278" t="s">
        <v>49</v>
      </c>
      <c r="F20" s="282" t="s">
        <v>77</v>
      </c>
      <c r="G20" s="278" t="s">
        <v>49</v>
      </c>
      <c r="H20" s="282" t="s">
        <v>118</v>
      </c>
      <c r="I20" s="274" t="s">
        <v>49</v>
      </c>
      <c r="J20" s="277" t="s">
        <v>119</v>
      </c>
      <c r="K20" s="281" t="s">
        <v>120</v>
      </c>
    </row>
    <row r="21" spans="1:11" ht="100.5" customHeight="1">
      <c r="A21" s="320" t="s">
        <v>771</v>
      </c>
      <c r="B21" s="375" t="s">
        <v>772</v>
      </c>
      <c r="C21" s="322" t="s">
        <v>123</v>
      </c>
      <c r="D21" s="283" t="s">
        <v>691</v>
      </c>
      <c r="E21" s="702" t="s">
        <v>124</v>
      </c>
      <c r="F21" s="324" t="s">
        <v>773</v>
      </c>
      <c r="G21" s="703" t="s">
        <v>774</v>
      </c>
      <c r="H21" s="167" t="s">
        <v>775</v>
      </c>
      <c r="I21" s="704" t="s">
        <v>128</v>
      </c>
      <c r="J21" s="705" t="s">
        <v>129</v>
      </c>
      <c r="K21" s="324" t="s">
        <v>130</v>
      </c>
    </row>
    <row r="23" spans="1:11">
      <c r="J23" s="235"/>
    </row>
    <row r="25" spans="1:11" ht="15"/>
    <row r="26" spans="1:11" ht="15"/>
    <row r="28" spans="1:11" ht="15"/>
    <row r="29" spans="1:11" ht="15"/>
    <row r="30" spans="1:11" ht="15"/>
    <row r="31" spans="1:11" ht="15"/>
  </sheetData>
  <mergeCells count="7">
    <mergeCell ref="H19:I19"/>
    <mergeCell ref="J19:K19"/>
    <mergeCell ref="B2:U2"/>
    <mergeCell ref="B3:U3"/>
    <mergeCell ref="B4:U4"/>
    <mergeCell ref="B5:U5"/>
    <mergeCell ref="A10:C10"/>
  </mergeCells>
  <phoneticPr fontId="10" type="noConversion"/>
  <hyperlinks>
    <hyperlink ref="C1" location="TipoAeropuerto_Muestreo!A1" display="&lt;&lt; Muestreo Datos" xr:uid="{0FBEECF2-596D-4E5C-9513-E51A5A80B4A6}"/>
    <hyperlink ref="A1" location="'Modelo Dominio Anémico'!A1" display="&lt;&lt; Modelo de dominio &gt;&gt;" xr:uid="{61F0F78A-B1EB-4A17-A13E-834037A0F272}"/>
    <hyperlink ref="B1" location="'Objetos Dominio'!A1" display="&lt;&lt; Objetos de dominio" xr:uid="{D709D203-5E89-4221-B784-9ADAA9DF9387}"/>
    <hyperlink ref="C12" location="TipoAeropuerto_Caracterización!A8" display="TipoAeropuerto_Caracterización!A8" xr:uid="{BE1AC75E-8369-4391-A00D-37A43D9D8A5E}"/>
    <hyperlink ref="V6" location="Objeto Dominio 2!A16" display="Registrar Información  Horario Sede" xr:uid="{C404A748-4BB5-49FB-B75D-267DB3DCBA72}"/>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88EFE6E1-0A5F-433E-B4CD-AE0E78573BF8}">
          <x14:formula1>
            <xm:f>Valores!$D$2:$D$3</xm:f>
          </x14:formula1>
          <xm:sqref>M7:T8</xm:sqref>
        </x14:dataValidation>
        <x14:dataValidation type="list" allowBlank="1" showInputMessage="1" showErrorMessage="1" xr:uid="{B3011E26-6CBA-415E-B47A-CD1530F53E2E}">
          <x14:formula1>
            <xm:f>Valores!$F$2:$F$4</xm:f>
          </x14:formula1>
          <xm:sqref>G7</xm:sqref>
        </x14:dataValidation>
        <x14:dataValidation type="list" allowBlank="1" showInputMessage="1" showErrorMessage="1" xr:uid="{E7DE4B4D-EE5E-4348-AB84-862F0A5CBE2C}">
          <x14:formula1>
            <xm:f>Valores!$E$2:$E$23</xm:f>
          </x14:formula1>
          <xm:sqref>B7:B8</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C31AE-7240-44FF-A430-848D764CAE41}">
  <sheetPr codeName="Hoja4">
    <tabColor rgb="FF0070C0"/>
  </sheetPr>
  <dimension ref="A1:L11"/>
  <sheetViews>
    <sheetView zoomScale="115" zoomScaleNormal="115" workbookViewId="0">
      <selection activeCell="C4" sqref="C4"/>
    </sheetView>
  </sheetViews>
  <sheetFormatPr defaultColWidth="10.85546875" defaultRowHeight="14.45"/>
  <cols>
    <col min="1" max="1" width="45.7109375" style="4" bestFit="1" customWidth="1"/>
    <col min="2" max="2" width="20.42578125" style="4" bestFit="1" customWidth="1"/>
    <col min="3" max="3" width="21.140625" style="4" customWidth="1"/>
    <col min="4" max="4" width="11.28515625" style="4" bestFit="1" customWidth="1"/>
    <col min="5" max="5" width="10.5703125" style="4" bestFit="1" customWidth="1"/>
    <col min="6" max="6" width="22.5703125" style="4" customWidth="1"/>
    <col min="7" max="7" width="24.42578125" style="4" customWidth="1"/>
    <col min="8" max="8" width="23.85546875" style="4" customWidth="1"/>
    <col min="9" max="9" width="26" style="4" bestFit="1" customWidth="1"/>
    <col min="10" max="10" width="26" style="4" customWidth="1"/>
    <col min="11" max="11" width="23.42578125" style="4" bestFit="1" customWidth="1"/>
    <col min="12" max="12" width="17.85546875" style="52" bestFit="1" customWidth="1"/>
    <col min="13" max="13" width="20" style="4" customWidth="1"/>
    <col min="14" max="14" width="13.42578125" style="4" bestFit="1" customWidth="1"/>
    <col min="15" max="15" width="79.42578125" style="4" customWidth="1"/>
    <col min="16" max="16" width="17.42578125" style="4" bestFit="1" customWidth="1"/>
    <col min="17" max="17" width="14" style="4" bestFit="1" customWidth="1"/>
    <col min="18" max="16384" width="10.85546875" style="4"/>
  </cols>
  <sheetData>
    <row r="1" spans="1:12" customFormat="1" ht="15" thickBot="1">
      <c r="A1" s="58" t="s">
        <v>46</v>
      </c>
      <c r="B1" s="69" t="s">
        <v>74</v>
      </c>
      <c r="C1" s="69" t="s">
        <v>145</v>
      </c>
    </row>
    <row r="2" spans="1:12" s="1" customFormat="1" ht="34.5">
      <c r="A2" s="368" t="s">
        <v>776</v>
      </c>
      <c r="B2" s="369" t="s">
        <v>777</v>
      </c>
      <c r="C2" s="369" t="s">
        <v>778</v>
      </c>
    </row>
    <row r="3" spans="1:12" s="28" customFormat="1">
      <c r="A3" s="11" t="s">
        <v>142</v>
      </c>
      <c r="B3" s="100" t="s">
        <v>47</v>
      </c>
      <c r="C3" s="105" t="s">
        <v>779</v>
      </c>
    </row>
    <row r="4" spans="1:12">
      <c r="A4" s="374" t="s">
        <v>780</v>
      </c>
      <c r="B4" s="122" t="s">
        <v>781</v>
      </c>
      <c r="C4" s="137" t="str">
        <f>B4</f>
        <v>Nacional</v>
      </c>
      <c r="L4" s="4"/>
    </row>
    <row r="5" spans="1:12">
      <c r="A5" s="374" t="s">
        <v>782</v>
      </c>
      <c r="B5" s="122" t="s">
        <v>783</v>
      </c>
      <c r="C5" s="137" t="str">
        <f>B5</f>
        <v>Internacional</v>
      </c>
      <c r="L5" s="4"/>
    </row>
    <row r="6" spans="1:12">
      <c r="A6" s="28"/>
      <c r="B6" s="28"/>
      <c r="C6" s="28"/>
      <c r="L6" s="4"/>
    </row>
    <row r="7" spans="1:12">
      <c r="A7" s="28"/>
      <c r="B7" s="28"/>
      <c r="C7" s="28"/>
      <c r="L7" s="4"/>
    </row>
    <row r="8" spans="1:12">
      <c r="A8" s="28"/>
      <c r="B8" s="28"/>
      <c r="C8" s="28"/>
      <c r="L8" s="4"/>
    </row>
    <row r="9" spans="1:12">
      <c r="A9" s="28"/>
      <c r="B9" s="28"/>
      <c r="C9" s="28"/>
      <c r="L9" s="4"/>
    </row>
    <row r="10" spans="1:12">
      <c r="A10" s="28"/>
      <c r="B10" s="28"/>
      <c r="C10" s="28"/>
      <c r="L10" s="4"/>
    </row>
    <row r="11" spans="1:12">
      <c r="A11" s="28"/>
      <c r="B11" s="28"/>
      <c r="C11" s="28"/>
      <c r="L11" s="4"/>
    </row>
  </sheetData>
  <hyperlinks>
    <hyperlink ref="C1" location="TipoAeropuerto_Caracterización!A1" display="Caracterización objeto &gt;&gt;" xr:uid="{0BD64CB6-ACAB-467B-B61C-A2E973234734}"/>
    <hyperlink ref="A1" location="'Modelo Dominio Anémico'!A1" display="&lt;&lt; Modelo de dominio &gt;&gt;" xr:uid="{73A698B5-F7D2-47F2-8706-3BBE97EFB60A}"/>
    <hyperlink ref="B1" location="'Objetos Dominio'!A1" display="&lt;&lt; Objetos de dominio" xr:uid="{9687473A-8F52-435B-9FA1-4F74800DE0D7}"/>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4B31A-9198-41AF-B854-8B1334F32375}">
  <sheetPr codeName="Hoja6">
    <tabColor rgb="FF0070C0"/>
  </sheetPr>
  <dimension ref="A1:V31"/>
  <sheetViews>
    <sheetView zoomScale="93" zoomScaleNormal="93" workbookViewId="0">
      <pane ySplit="6" topLeftCell="C23" activePane="bottomLeft" state="frozen"/>
      <selection pane="bottomLeft" activeCell="C23" sqref="C23"/>
      <selection activeCell="A7" sqref="A7"/>
    </sheetView>
  </sheetViews>
  <sheetFormatPr defaultColWidth="10.85546875" defaultRowHeight="15"/>
  <cols>
    <col min="1" max="1" width="38.5703125" style="4" customWidth="1"/>
    <col min="2" max="2" width="43" style="4" bestFit="1" customWidth="1"/>
    <col min="3" max="4" width="38.5703125" style="4" customWidth="1"/>
    <col min="5" max="5" width="26.140625" style="4" customWidth="1"/>
    <col min="6" max="6" width="20.42578125" style="4" bestFit="1" customWidth="1"/>
    <col min="7" max="7" width="20" style="4" customWidth="1"/>
    <col min="8" max="8" width="32.42578125" style="4" bestFit="1" customWidth="1"/>
    <col min="9" max="9" width="29.42578125" style="4" bestFit="1" customWidth="1"/>
    <col min="10" max="10" width="40.5703125" style="4" customWidth="1"/>
    <col min="11" max="11" width="18.5703125" style="4" customWidth="1"/>
    <col min="12" max="12" width="11.42578125" style="4" bestFit="1"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66.5703125" style="4" customWidth="1"/>
    <col min="23" max="16384" width="10.85546875" style="4"/>
  </cols>
  <sheetData>
    <row r="1" spans="1:22" customFormat="1">
      <c r="A1" s="58" t="s">
        <v>46</v>
      </c>
      <c r="B1" s="69" t="s">
        <v>74</v>
      </c>
      <c r="C1" s="69" t="s">
        <v>75</v>
      </c>
    </row>
    <row r="2" spans="1:22" s="60" customFormat="1">
      <c r="A2" s="59" t="str">
        <f>'Objetos Dominio'!$A$2</f>
        <v>Nombre</v>
      </c>
      <c r="B2" s="730" t="str">
        <f>'Objetos Dominio'!$A$21</f>
        <v>Tipo Integrante</v>
      </c>
      <c r="C2" s="730"/>
      <c r="D2" s="730"/>
      <c r="E2" s="730"/>
      <c r="F2" s="730"/>
      <c r="G2" s="730"/>
      <c r="H2" s="730"/>
      <c r="I2" s="730"/>
      <c r="J2" s="730"/>
      <c r="K2" s="730"/>
      <c r="L2" s="730"/>
      <c r="M2" s="730"/>
      <c r="N2" s="730"/>
      <c r="O2" s="730"/>
      <c r="P2" s="730"/>
      <c r="Q2" s="730"/>
      <c r="R2" s="730"/>
      <c r="S2" s="730"/>
      <c r="T2" s="730"/>
      <c r="U2" s="730"/>
    </row>
    <row r="3" spans="1:22" s="60" customFormat="1" ht="14.1" customHeight="1">
      <c r="A3" s="59" t="str">
        <f>'Objetos Dominio'!$B$2</f>
        <v>Tipo</v>
      </c>
      <c r="B3" s="731" t="str">
        <f>'Objetos Dominio'!$B$21</f>
        <v>Propio</v>
      </c>
      <c r="C3" s="731"/>
      <c r="D3" s="731"/>
      <c r="E3" s="731"/>
      <c r="F3" s="731"/>
      <c r="G3" s="731"/>
      <c r="H3" s="731"/>
      <c r="I3" s="731"/>
      <c r="J3" s="731"/>
      <c r="K3" s="731"/>
      <c r="L3" s="731"/>
      <c r="M3" s="731"/>
      <c r="N3" s="731"/>
      <c r="O3" s="731"/>
      <c r="P3" s="731"/>
      <c r="Q3" s="731"/>
      <c r="R3" s="731"/>
      <c r="S3" s="731"/>
      <c r="T3" s="731"/>
      <c r="U3" s="731"/>
    </row>
    <row r="4" spans="1:22" s="60" customFormat="1" ht="14.1" customHeight="1">
      <c r="A4" s="59" t="str">
        <f>'Objetos Dominio'!$C$2</f>
        <v>Contexto Origen</v>
      </c>
      <c r="B4" s="731" t="str">
        <f>'Objetos Dominio'!$C$21</f>
        <v>Flight Hours</v>
      </c>
      <c r="C4" s="731"/>
      <c r="D4" s="731"/>
      <c r="E4" s="731"/>
      <c r="F4" s="731"/>
      <c r="G4" s="731"/>
      <c r="H4" s="731"/>
      <c r="I4" s="731"/>
      <c r="J4" s="731"/>
      <c r="K4" s="731"/>
      <c r="L4" s="731"/>
      <c r="M4" s="731"/>
      <c r="N4" s="731"/>
      <c r="O4" s="731"/>
      <c r="P4" s="731"/>
      <c r="Q4" s="731"/>
      <c r="R4" s="731"/>
      <c r="S4" s="731"/>
      <c r="T4" s="731"/>
      <c r="U4" s="731"/>
    </row>
    <row r="5" spans="1:22" s="60" customFormat="1" ht="14.1" customHeight="1">
      <c r="A5" s="59" t="str">
        <f>'Objetos Dominio'!$D$2</f>
        <v>Descripción</v>
      </c>
      <c r="B5" s="731" t="str">
        <f>'Objetos Dominio'!$D$21</f>
        <v>Objeto de dominio que clasifica que característica principal debe llevar un integrante que pertenece a una tripulación.</v>
      </c>
      <c r="C5" s="731"/>
      <c r="D5" s="731"/>
      <c r="E5" s="731"/>
      <c r="F5" s="731"/>
      <c r="G5" s="731"/>
      <c r="H5" s="731"/>
      <c r="I5" s="731"/>
      <c r="J5" s="731"/>
      <c r="K5" s="731"/>
      <c r="L5" s="731"/>
      <c r="M5" s="731"/>
      <c r="N5" s="731"/>
      <c r="O5" s="731"/>
      <c r="P5" s="731"/>
      <c r="Q5" s="731"/>
      <c r="R5" s="731"/>
      <c r="S5" s="731"/>
      <c r="T5" s="731"/>
      <c r="U5" s="731"/>
    </row>
    <row r="6" spans="1:22" s="60" customFormat="1">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580" t="str">
        <f>A23</f>
        <v>Consultar Tipo Integrante</v>
      </c>
    </row>
    <row r="7" spans="1:22" s="60" customFormat="1" ht="45" customHeight="1">
      <c r="A7" s="63" t="str">
        <f>TipoIntegrante_Muestreo!$A$3</f>
        <v>Id</v>
      </c>
      <c r="B7" s="64" t="s">
        <v>17</v>
      </c>
      <c r="C7" s="64">
        <v>36</v>
      </c>
      <c r="D7" s="64">
        <v>36</v>
      </c>
      <c r="E7" s="64"/>
      <c r="F7" s="64"/>
      <c r="G7" s="64"/>
      <c r="H7" s="64"/>
      <c r="I7" s="64"/>
      <c r="J7" s="67" t="s">
        <v>607</v>
      </c>
      <c r="K7" s="64"/>
      <c r="L7" s="65"/>
      <c r="M7" s="66" t="s">
        <v>9</v>
      </c>
      <c r="N7" s="66" t="s">
        <v>9</v>
      </c>
      <c r="O7" s="66" t="s">
        <v>9</v>
      </c>
      <c r="P7" s="66" t="s">
        <v>14</v>
      </c>
      <c r="Q7" s="66" t="s">
        <v>9</v>
      </c>
      <c r="R7" s="66" t="s">
        <v>14</v>
      </c>
      <c r="S7" s="66" t="s">
        <v>14</v>
      </c>
      <c r="T7" s="66" t="s">
        <v>9</v>
      </c>
      <c r="U7" s="87" t="str">
        <f>TipoIntegrante_Muestreo!$A$2</f>
        <v xml:space="preserve">Corresponde a un identificador único del usuario dentro del objeto de dominio Tipo Integrante. </v>
      </c>
      <c r="V7" s="581" t="s">
        <v>97</v>
      </c>
    </row>
    <row r="8" spans="1:22" s="60" customFormat="1" ht="45" customHeight="1">
      <c r="A8" s="63" t="str">
        <f>TipoIntegrante_Muestreo!$B$3</f>
        <v>Cargos</v>
      </c>
      <c r="B8" s="64" t="s">
        <v>15</v>
      </c>
      <c r="C8" s="64">
        <v>8</v>
      </c>
      <c r="D8" s="64">
        <v>13</v>
      </c>
      <c r="E8" s="64"/>
      <c r="F8" s="64"/>
      <c r="G8" s="64"/>
      <c r="H8" s="64"/>
      <c r="I8" s="64"/>
      <c r="J8" s="67" t="s">
        <v>784</v>
      </c>
      <c r="K8" s="64"/>
      <c r="L8" s="65"/>
      <c r="M8" s="66" t="s">
        <v>9</v>
      </c>
      <c r="N8" s="66" t="s">
        <v>9</v>
      </c>
      <c r="O8" s="66" t="s">
        <v>14</v>
      </c>
      <c r="P8" s="66" t="s">
        <v>14</v>
      </c>
      <c r="Q8" s="66" t="s">
        <v>9</v>
      </c>
      <c r="R8" s="66" t="s">
        <v>9</v>
      </c>
      <c r="S8" s="66" t="s">
        <v>14</v>
      </c>
      <c r="T8" s="66" t="s">
        <v>14</v>
      </c>
      <c r="U8" s="87" t="str">
        <f>TipoIntegrante_Muestreo!$B$2</f>
        <v xml:space="preserve">Corresponde al rol del usuario. </v>
      </c>
      <c r="V8" s="581" t="s">
        <v>386</v>
      </c>
    </row>
    <row r="9" spans="1:22" s="60" customFormat="1" ht="45" customHeight="1"/>
    <row r="10" spans="1:22" s="60" customFormat="1" ht="45" customHeight="1"/>
    <row r="11" spans="1:22" s="3" customFormat="1"/>
    <row r="12" spans="1:22" s="60" customFormat="1">
      <c r="A12" s="733" t="s">
        <v>106</v>
      </c>
      <c r="B12" s="734"/>
      <c r="C12" s="735"/>
    </row>
    <row r="13" spans="1:22" s="60" customFormat="1">
      <c r="A13" s="70" t="s">
        <v>107</v>
      </c>
      <c r="B13" s="71" t="s">
        <v>49</v>
      </c>
      <c r="C13" s="72" t="s">
        <v>108</v>
      </c>
    </row>
    <row r="14" spans="1:22" s="60" customFormat="1" ht="39" customHeight="1">
      <c r="A14" s="84" t="s">
        <v>785</v>
      </c>
      <c r="B14" s="83" t="str">
        <f>TipoIntegrante_Muestreo!$C$2</f>
        <v xml:space="preserve">El cargo de un usuario no puede repetirse. </v>
      </c>
      <c r="C14" s="85" t="str">
        <f>A8</f>
        <v>Cargos</v>
      </c>
    </row>
    <row r="15" spans="1:22" s="60" customFormat="1" ht="39" customHeight="1"/>
    <row r="21" spans="1:11">
      <c r="A21" s="273" t="s">
        <v>111</v>
      </c>
      <c r="B21" s="274" t="s">
        <v>49</v>
      </c>
      <c r="C21" s="284"/>
      <c r="D21" s="285" t="s">
        <v>112</v>
      </c>
      <c r="E21" s="286"/>
      <c r="F21" s="284"/>
      <c r="G21" s="285" t="s">
        <v>113</v>
      </c>
      <c r="H21" s="814" t="s">
        <v>114</v>
      </c>
      <c r="I21" s="815"/>
      <c r="J21" s="816" t="s">
        <v>115</v>
      </c>
      <c r="K21" s="817"/>
    </row>
    <row r="22" spans="1:11">
      <c r="A22" s="287"/>
      <c r="B22" s="288"/>
      <c r="C22" s="284" t="s">
        <v>116</v>
      </c>
      <c r="D22" s="289" t="s">
        <v>117</v>
      </c>
      <c r="E22" s="290" t="s">
        <v>49</v>
      </c>
      <c r="F22" s="291" t="s">
        <v>77</v>
      </c>
      <c r="G22" s="290" t="s">
        <v>49</v>
      </c>
      <c r="H22" s="291" t="s">
        <v>118</v>
      </c>
      <c r="I22" s="286" t="s">
        <v>49</v>
      </c>
      <c r="J22" s="292" t="s">
        <v>119</v>
      </c>
      <c r="K22" s="289" t="s">
        <v>120</v>
      </c>
    </row>
    <row r="23" spans="1:11" ht="159.75" customHeight="1">
      <c r="A23" s="213" t="s">
        <v>786</v>
      </c>
      <c r="B23" s="221" t="s">
        <v>787</v>
      </c>
      <c r="C23" s="293" t="s">
        <v>123</v>
      </c>
      <c r="D23" s="294" t="s">
        <v>788</v>
      </c>
      <c r="E23" s="295" t="s">
        <v>124</v>
      </c>
      <c r="F23" s="296" t="s">
        <v>789</v>
      </c>
      <c r="G23" s="297" t="s">
        <v>790</v>
      </c>
      <c r="H23" s="238" t="s">
        <v>791</v>
      </c>
      <c r="I23" s="298" t="s">
        <v>128</v>
      </c>
      <c r="J23" s="299" t="s">
        <v>129</v>
      </c>
      <c r="K23" s="300" t="s">
        <v>130</v>
      </c>
    </row>
    <row r="24" spans="1:11" ht="54" customHeight="1">
      <c r="A24" s="220"/>
      <c r="B24" s="270"/>
      <c r="C24" s="301"/>
      <c r="D24" s="302"/>
      <c r="E24" s="303"/>
      <c r="F24" s="304"/>
      <c r="G24" s="305"/>
      <c r="H24" s="167" t="s">
        <v>792</v>
      </c>
      <c r="I24" s="165" t="s">
        <v>793</v>
      </c>
      <c r="J24" s="306" t="s">
        <v>179</v>
      </c>
      <c r="K24" s="302" t="s">
        <v>130</v>
      </c>
    </row>
    <row r="31" spans="1:11">
      <c r="J31" s="235"/>
    </row>
  </sheetData>
  <mergeCells count="7">
    <mergeCell ref="H21:I21"/>
    <mergeCell ref="J21:K21"/>
    <mergeCell ref="B2:U2"/>
    <mergeCell ref="B3:U3"/>
    <mergeCell ref="B4:U4"/>
    <mergeCell ref="B5:U5"/>
    <mergeCell ref="A12:C12"/>
  </mergeCells>
  <phoneticPr fontId="10" type="noConversion"/>
  <hyperlinks>
    <hyperlink ref="C1" location="TipoIntegrante_Muestreo!A1" display="&lt;&lt; Muestreo Datos" xr:uid="{A07C59A8-B919-4E09-9ADE-CCB7E3193CFE}"/>
    <hyperlink ref="C14" location="TipoIntegrante_Caracterización!A8" display="TipoIntegrante_Caracterización!A8" xr:uid="{F2FC7BFE-D1AB-49D2-ACCE-1FE9C84C27B0}"/>
    <hyperlink ref="A1" location="'Modelo Dominio Anémico'!A1" display="&lt;&lt; Modelo de dominio &gt;&gt;" xr:uid="{6530B14B-4D6A-4B07-86A4-A0A6719137FA}"/>
    <hyperlink ref="B1" location="'Objetos Dominio'!A1" display="&lt;&lt; Objetos de dominio" xr:uid="{D3CAAB44-907E-4811-B22B-E90D252A3447}"/>
    <hyperlink ref="V6" location="Objeto Dominio 2!A16" display="Registrar Información  Horario Sede" xr:uid="{E7FE9B02-514F-40C3-BDAA-481E4E178D78}"/>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79A29BA-CC57-403B-98F6-46164A9FF2D7}">
          <x14:formula1>
            <xm:f>Valores!$F$2:$F$4</xm:f>
          </x14:formula1>
          <xm:sqref>G7</xm:sqref>
        </x14:dataValidation>
        <x14:dataValidation type="list" allowBlank="1" showInputMessage="1" showErrorMessage="1" xr:uid="{582240E9-4626-417E-AF0F-08295549E25C}">
          <x14:formula1>
            <xm:f>Valores!$D$2:$D$3</xm:f>
          </x14:formula1>
          <xm:sqref>M7:T8</xm:sqref>
        </x14:dataValidation>
        <x14:dataValidation type="list" allowBlank="1" showInputMessage="1" showErrorMessage="1" xr:uid="{40ADCF9A-FD10-4EBE-BACA-8FDFFB38425C}">
          <x14:formula1>
            <xm:f>Valores!$E$2:$E$23</xm:f>
          </x14:formula1>
          <xm:sqref>B7:B8</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2FFF-9E5C-4DAA-8E8E-8E2348ED0AA8}">
  <sheetPr codeName="Hoja5">
    <tabColor rgb="FF0070C0"/>
  </sheetPr>
  <dimension ref="A1:C5"/>
  <sheetViews>
    <sheetView zoomScale="130" zoomScaleNormal="130" workbookViewId="0">
      <pane ySplit="3" topLeftCell="B6" activePane="bottomLeft" state="frozen"/>
      <selection pane="bottomLeft" activeCell="B6" sqref="B6"/>
    </sheetView>
  </sheetViews>
  <sheetFormatPr defaultColWidth="10.85546875" defaultRowHeight="14.45"/>
  <cols>
    <col min="1" max="2" width="38.5703125" style="4" customWidth="1"/>
    <col min="3" max="3" width="30.42578125" style="4" customWidth="1"/>
    <col min="4" max="6" width="38.5703125" style="4" customWidth="1"/>
    <col min="7" max="7" width="10.85546875" style="4" customWidth="1"/>
    <col min="8" max="16384" width="10.85546875" style="4"/>
  </cols>
  <sheetData>
    <row r="1" spans="1:3" customFormat="1" ht="15" thickBot="1">
      <c r="A1" s="58" t="s">
        <v>46</v>
      </c>
      <c r="B1" s="69" t="s">
        <v>74</v>
      </c>
      <c r="C1" s="69" t="s">
        <v>145</v>
      </c>
    </row>
    <row r="2" spans="1:3" s="3" customFormat="1" ht="21">
      <c r="A2" s="8" t="s">
        <v>794</v>
      </c>
      <c r="B2" s="9" t="s">
        <v>795</v>
      </c>
      <c r="C2" s="9" t="s">
        <v>796</v>
      </c>
    </row>
    <row r="3" spans="1:3">
      <c r="A3" s="36" t="s">
        <v>133</v>
      </c>
      <c r="B3" s="37" t="s">
        <v>797</v>
      </c>
      <c r="C3" s="19" t="s">
        <v>153</v>
      </c>
    </row>
    <row r="4" spans="1:3">
      <c r="A4" s="38" t="s">
        <v>573</v>
      </c>
      <c r="B4" s="6" t="s">
        <v>798</v>
      </c>
      <c r="C4" s="16" t="str">
        <f>B4</f>
        <v xml:space="preserve">Capitán </v>
      </c>
    </row>
    <row r="5" spans="1:3" ht="15" thickBot="1">
      <c r="A5" s="40" t="s">
        <v>574</v>
      </c>
      <c r="B5" s="14" t="s">
        <v>377</v>
      </c>
      <c r="C5" s="17" t="str">
        <f>B5</f>
        <v>Copiloto</v>
      </c>
    </row>
  </sheetData>
  <hyperlinks>
    <hyperlink ref="C1" location="TipoIntegrante_Caracterización!A1" display="Caracterización objeto &gt;&gt;" xr:uid="{7892C896-4EB3-4FB1-95BE-ECFCCBCE9139}"/>
    <hyperlink ref="A1" location="'Modelo Dominio Anémico'!A1" display="&lt;&lt; Modelo de dominio &gt;&gt;" xr:uid="{51A9616F-4146-4F60-B0F1-B8E940A15800}"/>
    <hyperlink ref="B1" location="'Objetos Dominio'!A1" display="&lt;&lt; Objetos de dominio" xr:uid="{535C7277-D75E-4663-8461-64EB10688BB1}"/>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DF12A-2466-45BB-B22E-88E99A9837CF}">
  <sheetPr>
    <tabColor theme="5" tint="-0.249977111117893"/>
  </sheetPr>
  <dimension ref="A1:X31"/>
  <sheetViews>
    <sheetView workbookViewId="0">
      <selection activeCell="B27" sqref="B27"/>
    </sheetView>
  </sheetViews>
  <sheetFormatPr defaultColWidth="10.85546875" defaultRowHeight="15"/>
  <cols>
    <col min="1" max="4" width="38.5703125" style="4" customWidth="1"/>
    <col min="5" max="5" width="19.85546875" style="4" customWidth="1"/>
    <col min="6" max="6" width="20.140625" style="4" bestFit="1" customWidth="1"/>
    <col min="7" max="7" width="20.5703125" style="4" customWidth="1"/>
    <col min="8" max="8" width="32.42578125" style="4" bestFit="1" customWidth="1"/>
    <col min="9" max="9" width="29.42578125" style="4" bestFit="1" customWidth="1"/>
    <col min="10" max="10" width="40.5703125" style="4" customWidth="1"/>
    <col min="11" max="11" width="33.42578125" style="4" customWidth="1"/>
    <col min="12" max="12" width="34.28515625" style="4" customWidth="1"/>
    <col min="13" max="13" width="28.85546875" style="4" bestFit="1" customWidth="1"/>
    <col min="14" max="14" width="28.85546875" style="4" customWidth="1"/>
    <col min="15" max="15" width="13.85546875" style="4" bestFit="1" customWidth="1"/>
    <col min="16" max="19" width="10.85546875" style="4"/>
    <col min="20" max="20" width="17.7109375" style="4" bestFit="1" customWidth="1"/>
    <col min="21" max="21" width="59.5703125" style="4" customWidth="1"/>
    <col min="22" max="22" width="61.85546875" style="4" customWidth="1"/>
    <col min="23" max="23" width="45.85546875" style="4" customWidth="1"/>
    <col min="24" max="24" width="26" style="4" customWidth="1"/>
    <col min="25" max="16384" width="10.85546875" style="4"/>
  </cols>
  <sheetData>
    <row r="1" spans="1:24" customFormat="1">
      <c r="A1" s="58" t="s">
        <v>46</v>
      </c>
      <c r="B1" s="69" t="s">
        <v>74</v>
      </c>
      <c r="C1" s="69" t="s">
        <v>75</v>
      </c>
    </row>
    <row r="2" spans="1:24" s="60" customFormat="1">
      <c r="A2" s="59" t="str">
        <f>'Objetos Dominio'!$A$2</f>
        <v>Nombre</v>
      </c>
      <c r="B2" s="730" t="str">
        <f>'Objetos Dominio'!$A$22</f>
        <v>Vuelo</v>
      </c>
      <c r="C2" s="730"/>
      <c r="D2" s="730"/>
      <c r="E2" s="730"/>
      <c r="F2" s="730"/>
      <c r="G2" s="730"/>
      <c r="H2" s="730"/>
      <c r="I2" s="730"/>
      <c r="J2" s="730"/>
      <c r="K2" s="730"/>
      <c r="L2" s="730"/>
      <c r="M2" s="730"/>
      <c r="N2" s="730"/>
      <c r="O2" s="730"/>
      <c r="P2" s="730"/>
      <c r="Q2" s="730"/>
      <c r="R2" s="730"/>
      <c r="S2" s="730"/>
      <c r="T2" s="730"/>
      <c r="U2" s="730"/>
    </row>
    <row r="3" spans="1:24" s="60" customFormat="1" ht="14.1" customHeight="1">
      <c r="A3" s="59" t="str">
        <f>'Objetos Dominio'!$B$2</f>
        <v>Tipo</v>
      </c>
      <c r="B3" s="731" t="str">
        <f>'Objetos Dominio'!$B$22</f>
        <v>Referenciado</v>
      </c>
      <c r="C3" s="731"/>
      <c r="D3" s="731"/>
      <c r="E3" s="731"/>
      <c r="F3" s="731"/>
      <c r="G3" s="731"/>
      <c r="H3" s="731"/>
      <c r="I3" s="731"/>
      <c r="J3" s="731"/>
      <c r="K3" s="731"/>
      <c r="L3" s="731"/>
      <c r="M3" s="731"/>
      <c r="N3" s="731"/>
      <c r="O3" s="731"/>
      <c r="P3" s="731"/>
      <c r="Q3" s="731"/>
      <c r="R3" s="731"/>
      <c r="S3" s="731"/>
      <c r="T3" s="731"/>
      <c r="U3" s="731"/>
    </row>
    <row r="4" spans="1:24" s="60" customFormat="1" ht="14.1" customHeight="1">
      <c r="A4" s="59" t="str">
        <f>'Objetos Dominio'!$C$2</f>
        <v>Contexto Origen</v>
      </c>
      <c r="B4" s="731">
        <f>'Objetos Dominio'!$C$22</f>
        <v>0</v>
      </c>
      <c r="C4" s="731"/>
      <c r="D4" s="731"/>
      <c r="E4" s="731"/>
      <c r="F4" s="731"/>
      <c r="G4" s="731"/>
      <c r="H4" s="731"/>
      <c r="I4" s="731"/>
      <c r="J4" s="731"/>
      <c r="K4" s="731"/>
      <c r="L4" s="731"/>
      <c r="M4" s="731"/>
      <c r="N4" s="731"/>
      <c r="O4" s="731"/>
      <c r="P4" s="731"/>
      <c r="Q4" s="731"/>
      <c r="R4" s="731"/>
      <c r="S4" s="731"/>
      <c r="T4" s="731"/>
      <c r="U4" s="731"/>
    </row>
    <row r="5" spans="1:24" s="60" customFormat="1" ht="14.1" customHeight="1">
      <c r="A5" s="94" t="str">
        <f>'Objetos Dominio'!$D$2</f>
        <v>Descripción</v>
      </c>
      <c r="B5" s="732" t="str">
        <f>'Objetos Dominio'!$D$22</f>
        <v xml:space="preserve">Objeto de dominio que representa el viaje realizado en un avión por una aerolínea </v>
      </c>
      <c r="C5" s="732"/>
      <c r="D5" s="732"/>
      <c r="E5" s="732"/>
      <c r="F5" s="732"/>
      <c r="G5" s="732"/>
      <c r="H5" s="732"/>
      <c r="I5" s="732"/>
      <c r="J5" s="732"/>
      <c r="K5" s="732"/>
      <c r="L5" s="732"/>
      <c r="M5" s="732"/>
      <c r="N5" s="732"/>
      <c r="O5" s="732"/>
      <c r="P5" s="732"/>
      <c r="Q5" s="732"/>
      <c r="R5" s="732"/>
      <c r="S5" s="732"/>
      <c r="T5" s="732"/>
      <c r="U5" s="732"/>
    </row>
    <row r="6" spans="1:24" s="60" customFormat="1">
      <c r="A6" s="61" t="s">
        <v>76</v>
      </c>
      <c r="B6" s="62" t="s">
        <v>77</v>
      </c>
      <c r="C6" s="62" t="s">
        <v>78</v>
      </c>
      <c r="D6" s="62" t="s">
        <v>79</v>
      </c>
      <c r="E6" s="62" t="s">
        <v>80</v>
      </c>
      <c r="F6" s="62" t="s">
        <v>81</v>
      </c>
      <c r="G6" s="62" t="s">
        <v>82</v>
      </c>
      <c r="H6" s="62" t="s">
        <v>83</v>
      </c>
      <c r="I6" s="62" t="s">
        <v>84</v>
      </c>
      <c r="J6" s="62" t="s">
        <v>85</v>
      </c>
      <c r="K6" s="62" t="s">
        <v>86</v>
      </c>
      <c r="L6" s="62" t="s">
        <v>87</v>
      </c>
      <c r="M6" s="62" t="s">
        <v>88</v>
      </c>
      <c r="N6" s="62" t="s">
        <v>89</v>
      </c>
      <c r="O6" s="62" t="s">
        <v>90</v>
      </c>
      <c r="P6" s="62" t="s">
        <v>91</v>
      </c>
      <c r="Q6" s="62" t="s">
        <v>92</v>
      </c>
      <c r="R6" s="62" t="s">
        <v>93</v>
      </c>
      <c r="S6" s="62" t="s">
        <v>94</v>
      </c>
      <c r="T6" s="62" t="s">
        <v>95</v>
      </c>
      <c r="U6" s="86" t="s">
        <v>49</v>
      </c>
      <c r="V6" s="580" t="str">
        <f>A24</f>
        <v>Consultar la Informacion del Vuelo</v>
      </c>
      <c r="W6" s="580" t="str">
        <f>A25</f>
        <v>Editar la Informacion del Vuelo</v>
      </c>
      <c r="X6" s="580" t="str">
        <f>A28</f>
        <v>Registrar la Información del Vuelo</v>
      </c>
    </row>
    <row r="7" spans="1:24" s="60" customFormat="1" ht="53.25">
      <c r="A7" s="110" t="str">
        <f>'Vuelo_Muestreo '!A3</f>
        <v>Id</v>
      </c>
      <c r="B7" s="64" t="s">
        <v>17</v>
      </c>
      <c r="C7" s="64">
        <v>36</v>
      </c>
      <c r="D7" s="64">
        <v>36</v>
      </c>
      <c r="E7" s="64"/>
      <c r="F7" s="64"/>
      <c r="G7" s="64"/>
      <c r="H7" s="64"/>
      <c r="I7" s="64"/>
      <c r="J7" s="67" t="s">
        <v>252</v>
      </c>
      <c r="K7" s="64"/>
      <c r="L7" s="65"/>
      <c r="M7" s="66" t="s">
        <v>9</v>
      </c>
      <c r="N7" s="66" t="s">
        <v>9</v>
      </c>
      <c r="O7" s="66" t="s">
        <v>9</v>
      </c>
      <c r="P7" s="66" t="s">
        <v>14</v>
      </c>
      <c r="Q7" s="66" t="s">
        <v>9</v>
      </c>
      <c r="R7" s="66" t="s">
        <v>14</v>
      </c>
      <c r="S7" s="66" t="s">
        <v>14</v>
      </c>
      <c r="T7" s="66" t="s">
        <v>9</v>
      </c>
      <c r="U7" s="95" t="str">
        <f>'Vuelo_Muestreo '!A2</f>
        <v>Corresponde a un identificador único del vuelo que hará la ruta de la aerolínea  con el avión asignado  dentro del objeto de dominio Vuelo.</v>
      </c>
      <c r="V7" s="581" t="s">
        <v>97</v>
      </c>
      <c r="W7" s="581" t="s">
        <v>253</v>
      </c>
      <c r="X7" s="581" t="s">
        <v>98</v>
      </c>
    </row>
    <row r="8" spans="1:24" s="60" customFormat="1" ht="68.45" customHeight="1">
      <c r="A8" s="110" t="str">
        <f>'Vuelo_Muestreo '!B3</f>
        <v>Fecha</v>
      </c>
      <c r="B8" s="96" t="s">
        <v>23</v>
      </c>
      <c r="C8" s="64"/>
      <c r="D8" s="64"/>
      <c r="E8" s="64"/>
      <c r="F8" s="64"/>
      <c r="G8" s="64"/>
      <c r="H8" s="64"/>
      <c r="I8" s="64"/>
      <c r="J8" s="67"/>
      <c r="K8" s="64"/>
      <c r="L8" s="68"/>
      <c r="M8" s="66" t="s">
        <v>9</v>
      </c>
      <c r="N8" s="66" t="s">
        <v>9</v>
      </c>
      <c r="O8" s="66" t="s">
        <v>14</v>
      </c>
      <c r="P8" s="66" t="s">
        <v>14</v>
      </c>
      <c r="Q8" s="66" t="s">
        <v>9</v>
      </c>
      <c r="R8" s="66" t="s">
        <v>9</v>
      </c>
      <c r="S8" s="66" t="s">
        <v>14</v>
      </c>
      <c r="T8" s="66" t="s">
        <v>14</v>
      </c>
      <c r="U8" s="95" t="str">
        <f>'Vuelo_Muestreo '!B2</f>
        <v>Corresponde a la fecha de Vuelo.</v>
      </c>
      <c r="V8" s="581" t="s">
        <v>386</v>
      </c>
      <c r="W8" s="581" t="s">
        <v>254</v>
      </c>
      <c r="X8" s="581" t="s">
        <v>98</v>
      </c>
    </row>
    <row r="9" spans="1:24" s="60" customFormat="1" ht="30.75">
      <c r="A9" s="63" t="str">
        <f>'Vuelo_Muestreo '!C3</f>
        <v>Numero</v>
      </c>
      <c r="B9" s="111" t="s">
        <v>19</v>
      </c>
      <c r="C9" s="64"/>
      <c r="D9" s="64"/>
      <c r="E9" s="64"/>
      <c r="F9" s="64"/>
      <c r="G9" s="64"/>
      <c r="H9" s="64"/>
      <c r="I9" s="64"/>
      <c r="J9" s="67"/>
      <c r="K9" s="64"/>
      <c r="L9" s="68"/>
      <c r="M9" s="66" t="s">
        <v>14</v>
      </c>
      <c r="N9" s="66" t="s">
        <v>14</v>
      </c>
      <c r="O9" s="66" t="s">
        <v>14</v>
      </c>
      <c r="P9" s="66" t="s">
        <v>14</v>
      </c>
      <c r="Q9" s="66" t="s">
        <v>9</v>
      </c>
      <c r="R9" s="66" t="s">
        <v>9</v>
      </c>
      <c r="S9" s="66" t="s">
        <v>14</v>
      </c>
      <c r="T9" s="66" t="s">
        <v>14</v>
      </c>
      <c r="U9" s="95" t="str">
        <f>'Vuelo_Muestreo '!C2</f>
        <v>Corresponde al Numero de Vuelo.</v>
      </c>
      <c r="V9" s="579" t="s">
        <v>799</v>
      </c>
      <c r="W9" s="583" t="s">
        <v>254</v>
      </c>
      <c r="X9" s="583" t="s">
        <v>98</v>
      </c>
    </row>
    <row r="10" spans="1:24" s="60" customFormat="1" ht="65.25" customHeight="1">
      <c r="A10" s="63" t="str">
        <f>'Vuelo_Muestreo '!D3</f>
        <v>Ruta Aerolínea</v>
      </c>
      <c r="B10" s="96" t="s">
        <v>31</v>
      </c>
      <c r="C10" s="64"/>
      <c r="D10" s="64"/>
      <c r="E10" s="64"/>
      <c r="F10" s="64"/>
      <c r="G10" s="64"/>
      <c r="H10" s="64"/>
      <c r="I10" s="64"/>
      <c r="J10" s="64"/>
      <c r="K10" s="64"/>
      <c r="L10" s="68"/>
      <c r="M10" s="66" t="s">
        <v>9</v>
      </c>
      <c r="N10" s="66" t="s">
        <v>9</v>
      </c>
      <c r="O10" s="66" t="s">
        <v>14</v>
      </c>
      <c r="P10" s="66" t="s">
        <v>14</v>
      </c>
      <c r="Q10" s="66" t="s">
        <v>9</v>
      </c>
      <c r="R10" s="66" t="s">
        <v>9</v>
      </c>
      <c r="S10" s="66" t="s">
        <v>14</v>
      </c>
      <c r="T10" s="66" t="s">
        <v>14</v>
      </c>
      <c r="U10" s="603" t="str">
        <f>'Vuelo_Muestreo '!D2</f>
        <v>Corresponde a la ruta que hace la aerolínea</v>
      </c>
      <c r="V10" s="600" t="s">
        <v>800</v>
      </c>
      <c r="W10" s="604" t="s">
        <v>254</v>
      </c>
      <c r="X10" s="585" t="s">
        <v>98</v>
      </c>
    </row>
    <row r="11" spans="1:24" s="3" customFormat="1" ht="30" customHeight="1">
      <c r="V11" s="596"/>
      <c r="W11" s="595"/>
      <c r="X11" s="595"/>
    </row>
    <row r="12" spans="1:24" s="60" customFormat="1">
      <c r="V12" s="596"/>
      <c r="W12" s="595"/>
      <c r="X12" s="595"/>
    </row>
    <row r="13" spans="1:24" s="60" customFormat="1">
      <c r="V13" s="596"/>
      <c r="W13" s="595"/>
      <c r="X13" s="595"/>
    </row>
    <row r="14" spans="1:24" s="60" customFormat="1" ht="21.6" customHeight="1"/>
    <row r="15" spans="1:24" s="60" customFormat="1" ht="21.6" customHeight="1"/>
    <row r="16" spans="1:24">
      <c r="A16" s="733" t="s">
        <v>106</v>
      </c>
      <c r="B16" s="734"/>
      <c r="C16" s="735"/>
    </row>
    <row r="17" spans="1:11">
      <c r="A17" s="70" t="s">
        <v>107</v>
      </c>
      <c r="B17" s="71" t="s">
        <v>49</v>
      </c>
      <c r="C17" s="72" t="s">
        <v>108</v>
      </c>
    </row>
    <row r="18" spans="1:11">
      <c r="A18" s="755" t="s">
        <v>801</v>
      </c>
      <c r="B18" s="757" t="str">
        <f>RutaAerolinea_Muestreo!E2</f>
        <v>Una ruta de aerolínea  no puede tener más de una ruta repetida</v>
      </c>
      <c r="C18" s="75" t="str">
        <f>A10</f>
        <v>Ruta Aerolínea</v>
      </c>
    </row>
    <row r="19" spans="1:11" ht="27.95" customHeight="1">
      <c r="A19" s="756"/>
      <c r="B19" s="758"/>
      <c r="C19" s="75" t="str">
        <f>A9</f>
        <v>Numero</v>
      </c>
    </row>
    <row r="22" spans="1:11">
      <c r="A22" s="155" t="s">
        <v>111</v>
      </c>
      <c r="B22" s="156" t="s">
        <v>49</v>
      </c>
      <c r="C22" s="157"/>
      <c r="D22" s="158" t="s">
        <v>112</v>
      </c>
      <c r="E22" s="159"/>
      <c r="F22" s="157"/>
      <c r="G22" s="158" t="s">
        <v>113</v>
      </c>
      <c r="H22" s="726" t="s">
        <v>114</v>
      </c>
      <c r="I22" s="727"/>
      <c r="J22" s="728" t="s">
        <v>115</v>
      </c>
      <c r="K22" s="729"/>
    </row>
    <row r="23" spans="1:11">
      <c r="A23" s="160"/>
      <c r="B23" s="161"/>
      <c r="C23" s="157" t="s">
        <v>116</v>
      </c>
      <c r="D23" s="170"/>
      <c r="E23" s="188" t="s">
        <v>49</v>
      </c>
      <c r="F23" s="166" t="s">
        <v>77</v>
      </c>
      <c r="G23" s="188" t="s">
        <v>49</v>
      </c>
      <c r="H23" s="166" t="s">
        <v>118</v>
      </c>
      <c r="I23" s="159" t="s">
        <v>49</v>
      </c>
      <c r="J23" s="189" t="s">
        <v>119</v>
      </c>
      <c r="K23" s="166" t="s">
        <v>120</v>
      </c>
    </row>
    <row r="24" spans="1:11" ht="90.75" customHeight="1">
      <c r="A24" s="389" t="s">
        <v>802</v>
      </c>
      <c r="B24" s="390" t="s">
        <v>803</v>
      </c>
      <c r="C24" s="345" t="s">
        <v>123</v>
      </c>
      <c r="D24" s="346"/>
      <c r="E24" s="675" t="s">
        <v>124</v>
      </c>
      <c r="F24" s="342" t="s">
        <v>804</v>
      </c>
      <c r="G24" s="721" t="s">
        <v>754</v>
      </c>
      <c r="H24" s="171" t="s">
        <v>805</v>
      </c>
      <c r="I24" s="653" t="s">
        <v>128</v>
      </c>
      <c r="J24" s="710" t="s">
        <v>618</v>
      </c>
      <c r="K24" s="327" t="s">
        <v>130</v>
      </c>
    </row>
    <row r="25" spans="1:11" ht="87">
      <c r="A25" s="219" t="s">
        <v>806</v>
      </c>
      <c r="B25" s="217" t="s">
        <v>807</v>
      </c>
      <c r="C25" s="338" t="s">
        <v>133</v>
      </c>
      <c r="D25" s="345" t="s">
        <v>17</v>
      </c>
      <c r="E25" s="706" t="s">
        <v>758</v>
      </c>
      <c r="F25" s="351"/>
      <c r="G25" s="352"/>
      <c r="H25" s="255" t="s">
        <v>808</v>
      </c>
      <c r="I25" s="711" t="s">
        <v>809</v>
      </c>
      <c r="J25" s="712" t="s">
        <v>129</v>
      </c>
      <c r="K25" s="334" t="s">
        <v>130</v>
      </c>
    </row>
    <row r="26" spans="1:11" ht="44.25" customHeight="1">
      <c r="A26" s="348"/>
      <c r="B26" s="356"/>
      <c r="C26" s="382" t="s">
        <v>760</v>
      </c>
      <c r="D26" s="382"/>
      <c r="E26" s="722" t="s">
        <v>761</v>
      </c>
      <c r="F26" s="382"/>
      <c r="G26" s="219"/>
      <c r="H26" s="182" t="s">
        <v>810</v>
      </c>
      <c r="I26" s="716" t="s">
        <v>811</v>
      </c>
      <c r="J26" s="717" t="s">
        <v>129</v>
      </c>
      <c r="K26" s="508" t="s">
        <v>130</v>
      </c>
    </row>
    <row r="27" spans="1:11" ht="78" customHeight="1">
      <c r="A27" s="348"/>
      <c r="B27" s="356"/>
      <c r="C27" s="341"/>
      <c r="D27" s="341"/>
      <c r="E27" s="707"/>
      <c r="F27" s="341"/>
      <c r="G27" s="319"/>
      <c r="H27" s="174" t="s">
        <v>812</v>
      </c>
      <c r="I27" s="718" t="s">
        <v>185</v>
      </c>
      <c r="J27" s="717" t="s">
        <v>129</v>
      </c>
      <c r="K27" s="335" t="s">
        <v>130</v>
      </c>
    </row>
    <row r="28" spans="1:11" ht="87">
      <c r="A28" s="172" t="s">
        <v>813</v>
      </c>
      <c r="B28" s="219" t="s">
        <v>814</v>
      </c>
      <c r="C28" s="344" t="s">
        <v>142</v>
      </c>
      <c r="D28" s="326" t="s">
        <v>17</v>
      </c>
      <c r="E28" s="708" t="s">
        <v>758</v>
      </c>
      <c r="F28" s="28"/>
      <c r="G28" s="207"/>
      <c r="H28" s="246" t="s">
        <v>815</v>
      </c>
      <c r="I28" s="714" t="s">
        <v>816</v>
      </c>
      <c r="J28" s="715" t="s">
        <v>402</v>
      </c>
      <c r="K28" s="334" t="s">
        <v>277</v>
      </c>
    </row>
    <row r="29" spans="1:11" ht="46.5" customHeight="1">
      <c r="A29" s="388"/>
      <c r="B29" s="326"/>
      <c r="C29" s="382" t="s">
        <v>760</v>
      </c>
      <c r="D29" s="382"/>
      <c r="E29" s="674" t="s">
        <v>761</v>
      </c>
      <c r="F29" s="345"/>
      <c r="G29" s="217"/>
      <c r="H29" s="387" t="s">
        <v>817</v>
      </c>
      <c r="I29" s="719" t="s">
        <v>811</v>
      </c>
      <c r="J29" s="720" t="s">
        <v>129</v>
      </c>
      <c r="K29" s="339" t="s">
        <v>130</v>
      </c>
    </row>
    <row r="30" spans="1:11" ht="76.5" customHeight="1">
      <c r="A30" s="381"/>
      <c r="B30" s="341"/>
      <c r="C30" s="341"/>
      <c r="D30" s="341"/>
      <c r="E30" s="709"/>
      <c r="F30" s="340"/>
      <c r="G30" s="350"/>
      <c r="H30" s="318" t="s">
        <v>818</v>
      </c>
      <c r="I30" s="652" t="s">
        <v>185</v>
      </c>
      <c r="J30" s="713" t="s">
        <v>129</v>
      </c>
      <c r="K30" s="339" t="s">
        <v>130</v>
      </c>
    </row>
    <row r="31" spans="1:11">
      <c r="A31" s="386"/>
      <c r="B31" s="28"/>
      <c r="C31" s="28"/>
      <c r="D31" s="28"/>
      <c r="E31" s="384"/>
      <c r="F31" s="28"/>
      <c r="G31" s="356"/>
      <c r="H31" s="191"/>
      <c r="I31" s="356"/>
      <c r="J31" s="380"/>
      <c r="K31" s="28"/>
    </row>
  </sheetData>
  <mergeCells count="9">
    <mergeCell ref="H22:I22"/>
    <mergeCell ref="J22:K22"/>
    <mergeCell ref="A18:A19"/>
    <mergeCell ref="B18:B19"/>
    <mergeCell ref="B2:U2"/>
    <mergeCell ref="B3:U3"/>
    <mergeCell ref="B4:U4"/>
    <mergeCell ref="B5:U5"/>
    <mergeCell ref="A16:C16"/>
  </mergeCells>
  <phoneticPr fontId="10" type="noConversion"/>
  <hyperlinks>
    <hyperlink ref="A1" location="'Modelo Dominio Anémico'!A1" display="&lt;&lt; Modelo de dominio &gt;&gt;" xr:uid="{E3B4ABC4-EA44-4E41-B09A-C93FE94C6F56}"/>
    <hyperlink ref="B1" location="'Objetos Dominio'!A1" display="&lt;&lt; Objetos de dominio" xr:uid="{526F8FC6-BC2D-4943-BD20-24DBFABFCFC4}"/>
    <hyperlink ref="B9" location="RutaAerolinea_Caracterización!A1" display="RutaPorAerolinea" xr:uid="{752D3AB9-52E9-40AF-9B64-EDCE83FF7E6C}"/>
    <hyperlink ref="C19" location="Vuelo_Caracterizacion!A9" display="Vuelo_Caracterizacion!A9" xr:uid="{B5237DE5-8F41-46A2-9B1A-717DC757267E}"/>
    <hyperlink ref="C1" location="'Vuelo_Muestreo '!A1" display="&lt;&lt; Muestreo Datos" xr:uid="{2B00395F-B689-41DF-9CF8-7FBD34A4C920}"/>
    <hyperlink ref="B8" location="RutaAerolinea_Caracterización!A1" display="RutaPorAerolinea" xr:uid="{BAE0C01E-1591-4124-9F65-E3B54DACC18A}"/>
    <hyperlink ref="C18" location="Vuelo_Caracterizacion!A10" display="Vuelo_Caracterizacion!A10" xr:uid="{8DCA082D-843B-46EA-BCCD-691C28190E00}"/>
    <hyperlink ref="B10" location="RutaAerolinea_Caracterización!A1" display="Ruta Aerolinea" xr:uid="{CC67380F-557A-432C-ADF6-C2209D02AE52}"/>
    <hyperlink ref="V6" location="Objeto Dominio 2!A16" display="Registrar Información  Horario Sede" xr:uid="{CB6B11AB-EC8E-4345-81B9-30BAA58222BA}"/>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AC6A570-4B4C-4918-AB67-40584ADCDC3E}">
          <x14:formula1>
            <xm:f>Valores!$F$2:$F$4</xm:f>
          </x14:formula1>
          <xm:sqref>G7</xm:sqref>
        </x14:dataValidation>
        <x14:dataValidation type="list" allowBlank="1" showInputMessage="1" showErrorMessage="1" xr:uid="{1B36F90C-0C29-4F25-87E9-923B69A39F13}">
          <x14:formula1>
            <xm:f>Valores!$D$2:$D$3</xm:f>
          </x14:formula1>
          <xm:sqref>M7:T10</xm:sqref>
        </x14:dataValidation>
        <x14:dataValidation type="list" allowBlank="1" showInputMessage="1" showErrorMessage="1" xr:uid="{BEA9B7F0-5130-4DC2-8665-945DC191A522}">
          <x14:formula1>
            <xm:f>Valores!$E$2:$E$29</xm:f>
          </x14:formula1>
          <xm:sqref>B8:B9</xm:sqref>
        </x14:dataValidation>
        <x14:dataValidation type="list" allowBlank="1" showInputMessage="1" showErrorMessage="1" xr:uid="{897F5981-8F63-4AFE-AE7E-444F6F33B402}">
          <x14:formula1>
            <xm:f>Valores!$E$2:$E$23</xm:f>
          </x14:formula1>
          <xm:sqref>B7</xm:sqref>
        </x14:dataValidation>
        <x14:dataValidation type="list" allowBlank="1" showInputMessage="1" showErrorMessage="1" xr:uid="{F5839E15-5C04-4668-A533-F222F9089630}">
          <x14:formula1>
            <xm:f>Valores!$E$2:$E$30</xm:f>
          </x14:formula1>
          <xm:sqref>B10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25E0E-5559-45EF-9669-4A8580660F27}">
  <sheetPr>
    <tabColor theme="5"/>
  </sheetPr>
  <dimension ref="A1:H24"/>
  <sheetViews>
    <sheetView workbookViewId="0">
      <selection activeCell="A4" sqref="A4"/>
    </sheetView>
  </sheetViews>
  <sheetFormatPr defaultColWidth="10.85546875" defaultRowHeight="14.45"/>
  <cols>
    <col min="1" max="1" width="46.28515625" style="4" customWidth="1"/>
    <col min="2" max="2" width="25.140625" style="4" bestFit="1" customWidth="1"/>
    <col min="3" max="3" width="21.140625" style="4" customWidth="1"/>
    <col min="4" max="4" width="19.28515625" style="4" customWidth="1"/>
    <col min="5" max="5" width="34.85546875" style="4" customWidth="1"/>
    <col min="6" max="6" width="20.7109375" style="4" customWidth="1"/>
    <col min="7" max="7" width="15.140625" style="4" customWidth="1"/>
    <col min="8" max="8" width="18.140625" style="4" customWidth="1"/>
    <col min="9" max="9" width="38.140625" style="4" customWidth="1"/>
    <col min="10" max="16384" width="10.85546875" style="4"/>
  </cols>
  <sheetData>
    <row r="1" spans="1:8" customFormat="1" ht="15" thickBot="1">
      <c r="A1" s="58" t="s">
        <v>46</v>
      </c>
      <c r="B1" s="4"/>
      <c r="C1" s="69" t="s">
        <v>74</v>
      </c>
      <c r="E1" s="69" t="s">
        <v>145</v>
      </c>
      <c r="G1" s="4"/>
      <c r="H1" s="4"/>
    </row>
    <row r="2" spans="1:8" s="1" customFormat="1" ht="41.45" customHeight="1">
      <c r="A2" s="368" t="s">
        <v>819</v>
      </c>
      <c r="B2" s="369" t="s">
        <v>820</v>
      </c>
      <c r="C2" s="369" t="s">
        <v>821</v>
      </c>
      <c r="D2" s="369" t="s">
        <v>822</v>
      </c>
      <c r="E2" s="370" t="s">
        <v>823</v>
      </c>
    </row>
    <row r="3" spans="1:8" s="28" customFormat="1" ht="15" thickBot="1">
      <c r="A3" s="11" t="s">
        <v>133</v>
      </c>
      <c r="B3" s="112" t="s">
        <v>22</v>
      </c>
      <c r="C3" s="104" t="s">
        <v>631</v>
      </c>
      <c r="D3" s="103" t="s">
        <v>31</v>
      </c>
      <c r="E3" s="19" t="s">
        <v>153</v>
      </c>
    </row>
    <row r="4" spans="1:8" ht="15" thickBot="1">
      <c r="A4" s="371" t="s">
        <v>824</v>
      </c>
      <c r="B4" s="126">
        <v>45292.496527777781</v>
      </c>
      <c r="C4" s="376">
        <v>4061</v>
      </c>
      <c r="D4" s="103" t="str">
        <f>RutaAerolinea_Muestreo!E4</f>
        <v>BOG-CLO-AV</v>
      </c>
      <c r="E4" s="373" t="str">
        <f>_xlfn.CONCAT(C4,"-",D4,"-",TEXT(B4,"DD/MM/AA"))</f>
        <v>4061-BOG-CLO-AV-01/01/AA</v>
      </c>
    </row>
    <row r="5" spans="1:8" ht="15" thickBot="1">
      <c r="A5" s="371" t="s">
        <v>825</v>
      </c>
      <c r="B5" s="126">
        <v>45293.996527777781</v>
      </c>
      <c r="C5" s="376">
        <v>4054</v>
      </c>
      <c r="D5" s="103" t="str">
        <f>RutaAerolinea_Muestreo!E5</f>
        <v>BOG-CLO-LA</v>
      </c>
      <c r="E5" s="373" t="str">
        <f t="shared" ref="E5:E23" si="0">_xlfn.CONCAT(C5,"-",D5,"-",TEXT(B5,"DD/MM/AA"))</f>
        <v>4054-BOG-CLO-LA-02/01/AA</v>
      </c>
    </row>
    <row r="6" spans="1:8" ht="15" thickBot="1">
      <c r="A6" s="371" t="s">
        <v>826</v>
      </c>
      <c r="B6" s="126">
        <v>45294.996527777781</v>
      </c>
      <c r="C6" s="376">
        <v>4008</v>
      </c>
      <c r="D6" s="103" t="str">
        <f>RutaAerolinea_Muestreo!E6</f>
        <v>CLO-BOG-LA</v>
      </c>
      <c r="E6" s="373" t="str">
        <f t="shared" si="0"/>
        <v>4008-CLO-BOG-LA-03/01/AA</v>
      </c>
    </row>
    <row r="7" spans="1:8" ht="15" thickBot="1">
      <c r="A7" s="371" t="s">
        <v>827</v>
      </c>
      <c r="B7" s="126">
        <v>45295.996527777781</v>
      </c>
      <c r="C7" s="376">
        <v>4017</v>
      </c>
      <c r="D7" s="103" t="str">
        <f>RutaAerolinea_Muestreo!E7</f>
        <v>CLO-BOG-AV</v>
      </c>
      <c r="E7" s="373" t="str">
        <f t="shared" si="0"/>
        <v>4017-CLO-BOG-AV-04/01/AA</v>
      </c>
    </row>
    <row r="8" spans="1:8" ht="15" thickBot="1">
      <c r="A8" s="371" t="s">
        <v>828</v>
      </c>
      <c r="B8" s="126">
        <v>45296.996527777781</v>
      </c>
      <c r="C8" s="376">
        <v>4202</v>
      </c>
      <c r="D8" s="103" t="str">
        <f>RutaAerolinea_Muestreo!E8</f>
        <v>MDE-BOG-LA</v>
      </c>
      <c r="E8" s="373" t="str">
        <f t="shared" si="0"/>
        <v>4202-MDE-BOG-LA-05/01/AA</v>
      </c>
    </row>
    <row r="9" spans="1:8" ht="15" thickBot="1">
      <c r="A9" s="371" t="s">
        <v>829</v>
      </c>
      <c r="B9" s="126">
        <v>45297.996527777781</v>
      </c>
      <c r="C9" s="376">
        <v>4203</v>
      </c>
      <c r="D9" s="103" t="str">
        <f>RutaAerolinea_Muestreo!E9</f>
        <v>MDE-BOG-AV</v>
      </c>
      <c r="E9" s="373" t="str">
        <f t="shared" si="0"/>
        <v>4203-MDE-BOG-AV-06/01/AA</v>
      </c>
    </row>
    <row r="10" spans="1:8" ht="15" thickBot="1">
      <c r="A10" s="371" t="s">
        <v>830</v>
      </c>
      <c r="B10" s="126">
        <v>45298.996527777781</v>
      </c>
      <c r="C10" s="376">
        <v>4032</v>
      </c>
      <c r="D10" s="103" t="str">
        <f>RutaAerolinea_Muestreo!E10</f>
        <v>BOG-MTR-LA</v>
      </c>
      <c r="E10" s="373" t="str">
        <f t="shared" si="0"/>
        <v>4032-BOG-MTR-LA-07/01/AA</v>
      </c>
    </row>
    <row r="11" spans="1:8" ht="15" thickBot="1">
      <c r="A11" s="371" t="s">
        <v>831</v>
      </c>
      <c r="B11" s="126">
        <v>45299.996527777781</v>
      </c>
      <c r="C11" s="376">
        <v>4228</v>
      </c>
      <c r="D11" s="103" t="str">
        <f>RutaAerolinea_Muestreo!E11</f>
        <v>BOG-MTR-AV</v>
      </c>
      <c r="E11" s="373" t="str">
        <f t="shared" si="0"/>
        <v>4228-BOG-MTR-AV-08/01/AA</v>
      </c>
    </row>
    <row r="12" spans="1:8" ht="15" thickBot="1">
      <c r="A12" s="371" t="s">
        <v>832</v>
      </c>
      <c r="B12" s="126">
        <v>45300.996527777781</v>
      </c>
      <c r="C12" s="376">
        <v>4239</v>
      </c>
      <c r="D12" s="103" t="str">
        <f>RutaAerolinea_Muestreo!E12</f>
        <v>MTR-BOG-LA</v>
      </c>
      <c r="E12" s="373" t="str">
        <f t="shared" si="0"/>
        <v>4239-MTR-BOG-LA-09/01/AA</v>
      </c>
    </row>
    <row r="13" spans="1:8" ht="15" thickBot="1">
      <c r="A13" s="371" t="s">
        <v>833</v>
      </c>
      <c r="B13" s="126">
        <v>45301.996527777781</v>
      </c>
      <c r="C13" s="376">
        <v>4361</v>
      </c>
      <c r="D13" s="103" t="str">
        <f>RutaAerolinea_Muestreo!E13</f>
        <v>MTR-BOG-AV</v>
      </c>
      <c r="E13" s="373" t="str">
        <f t="shared" si="0"/>
        <v>4361-MTR-BOG-AV-10/01/AA</v>
      </c>
    </row>
    <row r="14" spans="1:8" ht="15" thickBot="1">
      <c r="A14" s="371" t="s">
        <v>834</v>
      </c>
      <c r="B14" s="126">
        <v>45302.996527777781</v>
      </c>
      <c r="C14" s="376">
        <v>4360</v>
      </c>
      <c r="D14" s="103" t="str">
        <f>RutaAerolinea_Muestreo!E14</f>
        <v>MDE-SMR-LA</v>
      </c>
      <c r="E14" s="373" t="str">
        <f t="shared" si="0"/>
        <v>4360-MDE-SMR-LA-11/01/AA</v>
      </c>
    </row>
    <row r="15" spans="1:8" ht="15" thickBot="1">
      <c r="A15" s="371" t="s">
        <v>835</v>
      </c>
      <c r="B15" s="126">
        <v>45303.996527777781</v>
      </c>
      <c r="C15" s="376">
        <v>4037</v>
      </c>
      <c r="D15" s="103" t="str">
        <f>RutaAerolinea_Muestreo!E15</f>
        <v>MDE-SMR-AV</v>
      </c>
      <c r="E15" s="373" t="str">
        <f t="shared" si="0"/>
        <v>4037-MDE-SMR-AV-12/01/AA</v>
      </c>
    </row>
    <row r="16" spans="1:8" ht="15" thickBot="1">
      <c r="A16" s="371" t="s">
        <v>836</v>
      </c>
      <c r="B16" s="126">
        <v>45304.996527777781</v>
      </c>
      <c r="C16" s="376">
        <v>4098</v>
      </c>
      <c r="D16" s="103" t="str">
        <f>RutaAerolinea_Muestreo!E16</f>
        <v>SMR-MDE-LA</v>
      </c>
      <c r="E16" s="373" t="str">
        <f t="shared" si="0"/>
        <v>4098-SMR-MDE-LA-13/01/AA</v>
      </c>
    </row>
    <row r="17" spans="1:5" ht="15" thickBot="1">
      <c r="A17" s="371" t="s">
        <v>837</v>
      </c>
      <c r="B17" s="126">
        <v>45305.996527777781</v>
      </c>
      <c r="C17" s="376">
        <v>4121</v>
      </c>
      <c r="D17" s="103" t="str">
        <f>RutaAerolinea_Muestreo!E17</f>
        <v>SMR-MDE-AV</v>
      </c>
      <c r="E17" s="373" t="str">
        <f t="shared" si="0"/>
        <v>4121-SMR-MDE-AV-14/01/AA</v>
      </c>
    </row>
    <row r="18" spans="1:5" ht="15" thickBot="1">
      <c r="A18" s="371" t="s">
        <v>838</v>
      </c>
      <c r="B18" s="126">
        <v>45306.996527777781</v>
      </c>
      <c r="C18" s="376">
        <v>4318</v>
      </c>
      <c r="D18" s="103" t="str">
        <f>RutaAerolinea_Muestreo!E18</f>
        <v>MDE-CLO-LA</v>
      </c>
      <c r="E18" s="373" t="str">
        <f t="shared" si="0"/>
        <v>4318-MDE-CLO-LA-15/01/AA</v>
      </c>
    </row>
    <row r="19" spans="1:5" ht="15" thickBot="1">
      <c r="A19" s="371" t="s">
        <v>839</v>
      </c>
      <c r="B19" s="126">
        <v>45307.996527777781</v>
      </c>
      <c r="C19" s="376">
        <v>4319</v>
      </c>
      <c r="D19" s="103" t="str">
        <f>RutaAerolinea_Muestreo!E19</f>
        <v>MDE-CLO-AV</v>
      </c>
      <c r="E19" s="373" t="str">
        <f t="shared" si="0"/>
        <v>4319-MDE-CLO-AV-16/01/AA</v>
      </c>
    </row>
    <row r="20" spans="1:5" ht="15" thickBot="1">
      <c r="A20" s="371" t="s">
        <v>840</v>
      </c>
      <c r="B20" s="126">
        <v>45308.996527777781</v>
      </c>
      <c r="C20" s="376">
        <v>4136</v>
      </c>
      <c r="D20" s="103" t="str">
        <f>RutaAerolinea_Muestreo!E20</f>
        <v>CLO-MDE-LA</v>
      </c>
      <c r="E20" s="373" t="str">
        <f t="shared" si="0"/>
        <v>4136-CLO-MDE-LA-17/01/AA</v>
      </c>
    </row>
    <row r="21" spans="1:5" ht="15" thickBot="1">
      <c r="A21" s="371" t="s">
        <v>841</v>
      </c>
      <c r="B21" s="126">
        <v>45309.996527777781</v>
      </c>
      <c r="C21" s="376">
        <v>4137</v>
      </c>
      <c r="D21" s="103" t="str">
        <f>RutaAerolinea_Muestreo!E21</f>
        <v>CLO-MDE-AV</v>
      </c>
      <c r="E21" s="373" t="str">
        <f t="shared" si="0"/>
        <v>4137-CLO-MDE-AV-18/01/AA</v>
      </c>
    </row>
    <row r="22" spans="1:5" ht="15" thickBot="1">
      <c r="A22" s="371" t="s">
        <v>842</v>
      </c>
      <c r="B22" s="126">
        <v>45310.996527777781</v>
      </c>
      <c r="C22" s="376">
        <v>4400</v>
      </c>
      <c r="D22" s="103" t="str">
        <f>RutaAerolinea_Muestreo!E22</f>
        <v>BOG-CTG-LA</v>
      </c>
      <c r="E22" s="373" t="str">
        <f t="shared" si="0"/>
        <v>4400-BOG-CTG-LA-19/01/AA</v>
      </c>
    </row>
    <row r="23" spans="1:5" ht="15" thickBot="1">
      <c r="A23" s="371" t="s">
        <v>843</v>
      </c>
      <c r="B23" s="126">
        <v>45311.996527777781</v>
      </c>
      <c r="C23" s="376">
        <v>4401</v>
      </c>
      <c r="D23" s="103" t="str">
        <f>RutaAerolinea_Muestreo!E23</f>
        <v>BOG-CTG-AV</v>
      </c>
      <c r="E23" s="373" t="str">
        <f t="shared" si="0"/>
        <v>4401-BOG-CTG-AV-20/01/AA</v>
      </c>
    </row>
    <row r="24" spans="1:5" ht="15"/>
  </sheetData>
  <hyperlinks>
    <hyperlink ref="E1" location="RutaAerolinea_Caracterización!A1" display="Caracterización objeto &gt;&gt;" xr:uid="{D331425C-ADC4-48A9-8A72-90CF30B09AB3}"/>
    <hyperlink ref="A1" location="'Modelo Dominio Anémico'!A1" display="&lt;&lt; Modelo de dominio &gt;&gt;" xr:uid="{D70F5C87-DE22-43F1-A95A-B0084887D994}"/>
    <hyperlink ref="C1" location="'Objetos Dominio'!A1" display="&lt;&lt; Objetos de dominio" xr:uid="{46CE6BC5-963B-4FD2-A6F7-D6EAAB0BD6BC}"/>
    <hyperlink ref="D3" location="RutaAerolinea_Muestreo!A1" display="Ruta Aerolinea" xr:uid="{86374325-6FE2-4145-B0BC-C3C261FDD97D}"/>
    <hyperlink ref="D4" location="'RutaAerolinea_Muestreo'!A4" display="=RutaAerolinea_Muestreo!D4" xr:uid="{26E6C93C-9B8F-4B35-8623-E4025B13DADA}"/>
    <hyperlink ref="D5:D23" location="'RutaAerolinea_Muestreo'!A4" display="=RutaAerolinea_Muestreo!D4" xr:uid="{E4D3CE99-DE9A-456C-8BA0-F3F97AFA2416}"/>
    <hyperlink ref="D5" location="'RutaAerolinea_Muestreo'!A5" display="=RutaAerolinea_Muestreo!D5" xr:uid="{4C3631D2-2773-4D9D-9097-C95F16FFB914}"/>
    <hyperlink ref="D6" location="'RutaAerolinea_Muestreo'!A6" display="=RutaAerolinea_Muestreo!D6" xr:uid="{8814A384-1DC3-47DF-8BD7-8D2CE5A98B29}"/>
    <hyperlink ref="D7" location="'RutaAerolinea_Muestreo'!A7" display="=RutaAerolinea_Muestreo!D7" xr:uid="{B2075FE2-F894-4F89-8E42-EFB9E6328E78}"/>
    <hyperlink ref="D8" location="'RutaAerolinea_Muestreo'!A8" display="=RutaAerolinea_Muestreo!D8" xr:uid="{A32422DF-B6F6-4C91-A356-C75574CDBCBB}"/>
    <hyperlink ref="D9" location="'RutaAerolinea_Muestreo'!A9" display="=RutaAerolinea_Muestreo!D9" xr:uid="{253CADA2-3822-4AEA-8EB8-FB96D0E7A2D1}"/>
    <hyperlink ref="D10" location="'RutaAerolinea_Muestreo'!A10" display="=RutaAerolinea_Muestreo!D10" xr:uid="{21753B16-1527-4090-9A9D-314E0ABE1BEC}"/>
    <hyperlink ref="D11" location="'RutaAerolinea_Muestreo'!A11" display="=RutaAerolinea_Muestreo!D11" xr:uid="{11267D7B-07E5-49E5-96A7-5CBA4590C3B8}"/>
    <hyperlink ref="D12" location="'RutaAerolinea_Muestreo'!A12" display="=RutaAerolinea_Muestreo!D12" xr:uid="{FA9E8BA0-32E6-4A58-977E-423BE1C29D18}"/>
    <hyperlink ref="D13" location="'RutaAerolinea_Muestreo'!A13" display="=RutaAerolinea_Muestreo!D13" xr:uid="{E6E2F076-F7EC-486E-B5AC-2D5DDFD5A45A}"/>
    <hyperlink ref="D14" location="'RutaAerolinea_Muestreo'!A14" display="=RutaAerolinea_Muestreo!D14" xr:uid="{352D436D-296B-46D1-BDBB-E837BED0A01E}"/>
    <hyperlink ref="D15" location="'RutaAerolinea_Muestreo'!A15" display="=RutaAerolinea_Muestreo!D15" xr:uid="{C3CC5CD0-A705-457E-A614-DB8ABF1B6C3D}"/>
    <hyperlink ref="D16" location="'RutaAerolinea_Muestreo'!A16" display="=RutaAerolinea_Muestreo!D16" xr:uid="{00C861AE-32C7-4C27-A32A-12F37D393D1C}"/>
    <hyperlink ref="D17" location="'RutaAerolinea_Muestreo'!A17" display="=RutaAerolinea_Muestreo!D17" xr:uid="{7A49EB1C-9F4C-41F5-A351-A8642BDE324A}"/>
    <hyperlink ref="D18" location="'RutaAerolinea_Muestreo'!A18" display="=RutaAerolinea_Muestreo!D18" xr:uid="{94E6C63E-CEC9-4C7E-94C9-9F3D0D8806C9}"/>
    <hyperlink ref="D19" location="'RutaAerolinea_Muestreo'!A19" display="=RutaAerolinea_Muestreo!D19" xr:uid="{09A726D2-B951-4196-B8E0-E1CC1671B60C}"/>
    <hyperlink ref="D20" location="'RutaAerolinea_Muestreo'!A20" display="=RutaAerolinea_Muestreo!D20" xr:uid="{03C6F56F-26B7-40F7-83FC-0C28E7009844}"/>
    <hyperlink ref="D21" location="'RutaAerolinea_Muestreo'!A21" display="=RutaAerolinea_Muestreo!D21" xr:uid="{DC3C2DD0-2C1D-421A-B624-8322A7541784}"/>
    <hyperlink ref="D22" location="'RutaAerolinea_Muestreo'!A22" display="=RutaAerolinea_Muestreo!D22" xr:uid="{75AB5C23-C767-4C1B-8251-C92EEFF187EE}"/>
    <hyperlink ref="D23" location="'RutaAerolinea_Muestreo'!A23" display="=RutaAerolinea_Muestreo!D23" xr:uid="{D6E57FC1-1F2E-4ED9-AB5C-B6F522454F3C}"/>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76DB0C4120924AA26C4287891F496A" ma:contentTypeVersion="14" ma:contentTypeDescription="Create a new document." ma:contentTypeScope="" ma:versionID="3fceec3def0f506dfcad0667cfbc0a27">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e62c085bb44a921f4ca31eb25283aa2d"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47698A-EDE2-49EB-924A-D63402BE44ED}"/>
</file>

<file path=customXml/itemProps2.xml><?xml version="1.0" encoding="utf-8"?>
<ds:datastoreItem xmlns:ds="http://schemas.openxmlformats.org/officeDocument/2006/customXml" ds:itemID="{09747250-2741-4C49-95E6-CD1956A0E84C}"/>
</file>

<file path=customXml/itemProps3.xml><?xml version="1.0" encoding="utf-8"?>
<ds:datastoreItem xmlns:ds="http://schemas.openxmlformats.org/officeDocument/2006/customXml" ds:itemID="{8A02C8F9-E5B8-404E-931C-55FF0C7F9825}"/>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Emmanuel Londono Gomez</cp:lastModifiedBy>
  <cp:revision/>
  <dcterms:created xsi:type="dcterms:W3CDTF">2024-10-22T13:03:48Z</dcterms:created>
  <dcterms:modified xsi:type="dcterms:W3CDTF">2026-03-17T20:22:26Z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0x010100CA76DB0C4120924AA26C4287891F496A</vt:lpwstr>
  </property>
  <property fmtid="{D5CDD505-2E9C-101B-9397-08002B2CF9AE}" pid="5" name="MediaServiceImageTags">
    <vt:lpwstr/>
  </property>
</Properties>
</file>