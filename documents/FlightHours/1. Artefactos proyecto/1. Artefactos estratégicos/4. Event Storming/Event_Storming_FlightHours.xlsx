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flutterElgyfarid/Shared Documents/General/1. Artefactos proyecto/1.1. Artefactos estratégicos/1.1.5. Event Storming/"/>
    </mc:Choice>
  </mc:AlternateContent>
  <xr:revisionPtr revIDLastSave="14450" documentId="13_ncr:1_{62893FD2-C189-4ED0-931F-1A498DF7C6B3}" xr6:coauthVersionLast="47" xr6:coauthVersionMax="47" xr10:uidLastSave="{8D9618FA-6890-4115-9481-D949C3535ACA}"/>
  <bookViews>
    <workbookView xWindow="-110" yWindow="-110" windowWidth="19420" windowHeight="10300" firstSheet="18" activeTab="18" xr2:uid="{36012E7C-B3F4-482B-AC16-7CCB81B9AE88}"/>
  </bookViews>
  <sheets>
    <sheet name="Flujo de eventos en el tiempo" sheetId="61" r:id="rId1"/>
    <sheet name="Listado Objetos de Dominio" sheetId="67" r:id="rId2"/>
    <sheet name="Aerolinea" sheetId="68" r:id="rId3"/>
    <sheet name="Aeropuerto" sheetId="79" r:id="rId4"/>
    <sheet name="Bitacora Diaria" sheetId="77" r:id="rId5"/>
    <sheet name="Detalle Bitacora Diara" sheetId="85" r:id="rId6"/>
    <sheet name="Empleado" sheetId="69" r:id="rId7"/>
    <sheet name="Empleado Aerolinea" sheetId="74" r:id="rId8"/>
    <sheet name="Fabricante " sheetId="71" r:id="rId9"/>
    <sheet name="Familia" sheetId="75" r:id="rId10"/>
    <sheet name="Matricula" sheetId="82" r:id="rId11"/>
    <sheet name="Modelo" sheetId="80" r:id="rId12"/>
    <sheet name="Motor" sheetId="72" r:id="rId13"/>
    <sheet name="Ruta" sheetId="81" r:id="rId14"/>
    <sheet name="Ruta Aerolinea" sheetId="83" r:id="rId15"/>
    <sheet name="Tipo" sheetId="78" r:id="rId16"/>
    <sheet name="Tipo Aeropuerto" sheetId="24" r:id="rId17"/>
    <sheet name="Tipo Integrante" sheetId="70" r:id="rId18"/>
    <sheet name="Vuelo" sheetId="84" r:id="rId19"/>
  </sheets>
  <definedNames>
    <definedName name="_xlnm._FilterDatabase" localSheetId="1" hidden="1">'Listado Objetos de Dominio'!$A$3:$B$6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4" l="1"/>
  <c r="B2" i="84"/>
  <c r="B3" i="70"/>
  <c r="B2" i="70"/>
  <c r="B3" i="24"/>
  <c r="B2" i="24"/>
  <c r="B3" i="78"/>
  <c r="B2" i="78"/>
  <c r="B3" i="83"/>
  <c r="B2" i="83"/>
  <c r="B3" i="81"/>
  <c r="B2" i="81"/>
  <c r="B3" i="72"/>
  <c r="B2" i="72"/>
  <c r="B3" i="80"/>
  <c r="B2" i="80"/>
  <c r="B3" i="82"/>
  <c r="B2" i="82"/>
  <c r="B3" i="71"/>
  <c r="B2" i="71"/>
  <c r="B3" i="69"/>
  <c r="B2" i="69"/>
  <c r="B3" i="85"/>
  <c r="B2" i="85"/>
  <c r="B3" i="74"/>
  <c r="B2" i="74"/>
  <c r="B3" i="77"/>
  <c r="B2" i="77"/>
  <c r="B3" i="68"/>
  <c r="B2" i="68"/>
  <c r="B3" i="79"/>
  <c r="B2" i="79"/>
  <c r="B3" i="75" l="1"/>
  <c r="B2" i="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WIDER FARID SANCHEZ GARZON</author>
  </authors>
  <commentList>
    <comment ref="C3" authorId="0" shapeId="0" xr:uid="{3EAB824B-761A-446E-8B9A-62511A69DCED}">
      <text>
        <r>
          <rPr>
            <b/>
            <sz val="9"/>
            <color indexed="81"/>
            <rFont val="Tahoma"/>
            <family val="2"/>
          </rPr>
          <t>WIDER FARID SANCHEZ GARZON:</t>
        </r>
        <r>
          <rPr>
            <sz val="9"/>
            <color indexed="81"/>
            <rFont val="Tahoma"/>
            <family val="2"/>
          </rPr>
          <t xml:space="preserve">
Propio: Es parte del contexto actual.
Referenciado: No es parte del contexto actual y represente a una vista materializada, vista parcializada o enlace de interacción con otro contexto.</t>
        </r>
      </text>
    </comment>
  </commentList>
</comments>
</file>

<file path=xl/sharedStrings.xml><?xml version="1.0" encoding="utf-8"?>
<sst xmlns="http://schemas.openxmlformats.org/spreadsheetml/2006/main" count="1322" uniqueCount="453">
  <si>
    <t>Nombre contexto</t>
  </si>
  <si>
    <t>Descripción contexto</t>
  </si>
  <si>
    <t>Nombre</t>
  </si>
  <si>
    <t>Descripción</t>
  </si>
  <si>
    <t>TipoObjetoDominio</t>
  </si>
  <si>
    <t>Contexto</t>
  </si>
  <si>
    <t>Aerolinea</t>
  </si>
  <si>
    <t>Objeto de dominio que representa aquel grupo de personas expertas  en mantenimiento , dominio y control  tanto  en lo social como en lo aeronautico para un bien comun.</t>
  </si>
  <si>
    <t>Propio</t>
  </si>
  <si>
    <t>X</t>
  </si>
  <si>
    <t>Aeropuerto</t>
  </si>
  <si>
    <t>Objeto de dominio que representa a cada uno de los aeropuertos que están ubicados dentro de una ciudad.</t>
  </si>
  <si>
    <t>Referenciado</t>
  </si>
  <si>
    <t>Y</t>
  </si>
  <si>
    <t>Bitacora Diaria</t>
  </si>
  <si>
    <t>Objeto de dominio que representa la fecha,el empleado y pagina del libro sobre el vuelo realizado.</t>
  </si>
  <si>
    <t>Detalle Bitacora Diaria</t>
  </si>
  <si>
    <t>Objeto de dominio que representa a quien pertenece la bitacora,la informacion del vuelo,la matricula de la aeronave, la tripulacion y  que rango tienen,las horas de vuelo y su total.</t>
  </si>
  <si>
    <t>Empleado</t>
  </si>
  <si>
    <t>objeto de dominio que representa el nombre y el codigo de la persona que trabaja en la aerolinea</t>
  </si>
  <si>
    <t>Empleado Aerolinea</t>
  </si>
  <si>
    <t>objeto de dominio que representa el nombre y la fecha de inicio y salida y vigencia  de ese empleado en la aerolinea asignada</t>
  </si>
  <si>
    <t xml:space="preserve">Fabricante </t>
  </si>
  <si>
    <t>objeto de dominio que representa al fabricante del avion</t>
  </si>
  <si>
    <t>Familia</t>
  </si>
  <si>
    <t xml:space="preserve">Objeto de dominio que representa la familia a la que pertenece el avion </t>
  </si>
  <si>
    <t>Matricula</t>
  </si>
  <si>
    <t>objeto de domino que representa un codigo asignado a la aeronave por un pais</t>
  </si>
  <si>
    <t>Modelo</t>
  </si>
  <si>
    <t>objeto de dominio que representa el tipo,motor y nombre  de la aeronave</t>
  </si>
  <si>
    <t>Motor</t>
  </si>
  <si>
    <t>objeto de dominio que representa que tipo de motor tiene el avion</t>
  </si>
  <si>
    <t>Ruta</t>
  </si>
  <si>
    <t>Objeto de dominio que representa el origen  y destino de un vuelo de un aeropuerto a otro realizado por una aerolinea nacional o internacionalmente</t>
  </si>
  <si>
    <t>Ruta Aerolinea</t>
  </si>
  <si>
    <t xml:space="preserve">Objeto de dominio que representa el trajecto que realiza un avion de una aerolinea en una cantidad determinada de vuelos </t>
  </si>
  <si>
    <t>Tipo</t>
  </si>
  <si>
    <t xml:space="preserve">objeto de dominio que representa el tipo de aeronaves </t>
  </si>
  <si>
    <t>Tipo Aeropuerto</t>
  </si>
  <si>
    <t>Objeto de dominio que representa el tipo de aeropuerto</t>
  </si>
  <si>
    <t>Tipo Integrante</t>
  </si>
  <si>
    <t>Objeto de dominio que clasifica que caracteristica principal debe llevar un integrante que pertenece a una tripulacion.</t>
  </si>
  <si>
    <t>Vuelo</t>
  </si>
  <si>
    <t xml:space="preserve">Objeto de dominio que representa el viaje realizado en un avion por una aerolinea </t>
  </si>
  <si>
    <t>Pais</t>
  </si>
  <si>
    <t>Objeto de dominio que representa a cada uno de los países donde están ubicados los aeropuertos.</t>
  </si>
  <si>
    <t xml:space="preserve">Objeto de dominio que representa el tipo de aeropuerto 
</t>
  </si>
  <si>
    <t xml:space="preserve">Objeto de dominio que representa aquel grupo de personas expertas  en mantenimiento , dominio y control  tanto  en lo social como en lo aeronautico para un bien comun.
</t>
  </si>
  <si>
    <t xml:space="preserve">objeto de dominio que representa el nombre y el codigo de la persona que trabaja en la aerolinea
</t>
  </si>
  <si>
    <t xml:space="preserve">Objeto de dominio que clasifica que caracteristica principal debe llevar un integrante que pertenece a una tripulacion.
</t>
  </si>
  <si>
    <t xml:space="preserve">objeto de dominio que representa al fabricante del avion
</t>
  </si>
  <si>
    <t xml:space="preserve">objeto de dominio que representa que tipo de motor tiene el avion
</t>
  </si>
  <si>
    <t>Departamento</t>
  </si>
  <si>
    <t xml:space="preserve">Objeto de dominio que representa a cada uno de los departamentos que pertenecen a un país, donde están ubicadas las ciudades a las que pertenecen los aeropuertos.
</t>
  </si>
  <si>
    <t xml:space="preserve">objeto de dominio que representa el nombre y la fecha de inicio y salida y vigencia  de ese empleado en la aerolinea asignada
</t>
  </si>
  <si>
    <t xml:space="preserve">Objeto de dominio que representa la familia a la que pertenece el avion 
</t>
  </si>
  <si>
    <t>Ciudad</t>
  </si>
  <si>
    <t xml:space="preserve">Objeto de dominio que representa a cada una de las ciudades de los departamentos que pertenecen a un país, donde están ubicados los aeropuertos.
</t>
  </si>
  <si>
    <t xml:space="preserve">Objeto de dominio que representa la fecha,el empleado y pagina del libro sobre el vuelo realizado.
</t>
  </si>
  <si>
    <t xml:space="preserve">objeto de dominio que representa el tipo de aeronaves 
</t>
  </si>
  <si>
    <t xml:space="preserve">Objeto de dominio que representa a cada uno de los aeropuertos que están ubicados dentro de una ciudad.
</t>
  </si>
  <si>
    <t xml:space="preserve">objeto de dominio que representa el tipo,motor y nombre  de la aeronave
</t>
  </si>
  <si>
    <t xml:space="preserve">Objeto de dominio que representa el origen  y destino de un vuelo de un aeropuerto a otro realizado por una aerolinea nacional o internacionalmente
</t>
  </si>
  <si>
    <t xml:space="preserve">objeto de domino que representa un codigo asignado a la aeronave por un pais
</t>
  </si>
  <si>
    <t xml:space="preserve">Objeto de dominio que representa el trajecto que realiza un avion de una aerolinea en una cantidad determinada de vuelos 
</t>
  </si>
  <si>
    <t xml:space="preserve">Objeto de dominio que representa el viaje realizado en un avion por una aerolinea 
</t>
  </si>
  <si>
    <t xml:space="preserve">Objeto de dominio que representa a quien pertenece la bitacora,la informacion del vuelo,la matricula de la aeronave, la tripulacion y  que rango tienen,las horas de vuelo y su total.
</t>
  </si>
  <si>
    <t>&lt;-Volver al inicio</t>
  </si>
  <si>
    <t>Objeto de Dominio:</t>
  </si>
  <si>
    <t>Descripción: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</si>
  <si>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</si>
  <si>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</si>
  <si>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</si>
  <si>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</si>
  <si>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</si>
  <si>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</si>
  <si>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</si>
  <si>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</si>
  <si>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Eventos Previos</t>
  </si>
  <si>
    <t>Comandos Posteriores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</si>
  <si>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</si>
  <si>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</si>
  <si>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</si>
  <si>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</si>
  <si>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</si>
  <si>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</si>
  <si>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</si>
  <si>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</si>
  <si>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</si>
  <si>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Piloto</t>
  </si>
  <si>
    <t>Consultar la Información de la Aerolínea</t>
  </si>
  <si>
    <t>Permite consultar los detalles de una aerolínea</t>
  </si>
  <si>
    <t>Aerolínea</t>
  </si>
  <si>
    <t>Aerolinea-POL-0004</t>
  </si>
  <si>
    <t>Asegurar que los datos que fueron enviados como filtro para llevar a cabo la acción sean válidos a nivel de tipo de dato, longitud, obligatoriedad, formato y rango.</t>
  </si>
  <si>
    <t>Aerolínea Consultada</t>
  </si>
  <si>
    <t>Aerolínea Activada</t>
  </si>
  <si>
    <t>Activar Aerolínea</t>
  </si>
  <si>
    <t>Aerolínea Inactivada</t>
  </si>
  <si>
    <t>Desactivar Aerolínea</t>
  </si>
  <si>
    <t>Aerolinea-POL-0002</t>
  </si>
  <si>
    <t>La Aerolínea debe estar previamente activada.</t>
  </si>
  <si>
    <t>Administrador</t>
  </si>
  <si>
    <t>Inactivar la Aerolinea</t>
  </si>
  <si>
    <t>Permite inactivar una aerolínea</t>
  </si>
  <si>
    <t>Aerolinea-POL-0003</t>
  </si>
  <si>
    <t>La Aerolínea debe estar previamente registrada.</t>
  </si>
  <si>
    <t>Consultar Aerolínea</t>
  </si>
  <si>
    <t>Aerolinea-POL-0001</t>
  </si>
  <si>
    <t>Asegurar que los datos requeridos para llevar a cabo la acción sean válidos a nivel de tipo de dato, longitud, obligatoriedad, formato y rango.</t>
  </si>
  <si>
    <t>Activar la Aerolínea</t>
  </si>
  <si>
    <t>Permite activar una aerolínea</t>
  </si>
  <si>
    <t>La Aerolínea debe estar previamente registrada</t>
  </si>
  <si>
    <t>Inactivar Aerolínea</t>
  </si>
  <si>
    <t>La Aerolínea debe estar previamente inactivada</t>
  </si>
  <si>
    <t>Consultar la Información del Aeropuerto</t>
  </si>
  <si>
    <t>Permite obtener  la información del aeropuerto</t>
  </si>
  <si>
    <t>Información de un Tipo Aeropuerto</t>
  </si>
  <si>
    <t>Consultar Información que indica  el tipo de aeropuerto</t>
  </si>
  <si>
    <t>Aeropuerto-POL-0004</t>
  </si>
  <si>
    <t>Aeropuerto Consultado</t>
  </si>
  <si>
    <t>Aeropuerto  Activado</t>
  </si>
  <si>
    <t>Activar Aeropuerto</t>
  </si>
  <si>
    <t>Aeropuerto  Desactivado</t>
  </si>
  <si>
    <t>Desactivar Aeropuerto</t>
  </si>
  <si>
    <t>Activar el aeropuerto</t>
  </si>
  <si>
    <t>Permite activar el aeropuerto</t>
  </si>
  <si>
    <t>Información que indica que tipo de aeropuerto pertenece el aeropuerto a activar.</t>
  </si>
  <si>
    <t>Aeropuerto-POL-0002</t>
  </si>
  <si>
    <t>Para activar un aeropuerto primero debe estar desactivado</t>
  </si>
  <si>
    <t>Aeropuerto activado</t>
  </si>
  <si>
    <t>Consultar Aeropuerto</t>
  </si>
  <si>
    <t>Aeropuerto-POL-0001</t>
  </si>
  <si>
    <t>Inactivar el aeropuerto</t>
  </si>
  <si>
    <t>Permite inactivar el  aeropuerto</t>
  </si>
  <si>
    <t>Información que indica a que tipo de aeropuerto pertenece el aeropuerto a desactivar.</t>
  </si>
  <si>
    <t>Aeropuerto-POL-0003</t>
  </si>
  <si>
    <t>Para desactivar un aeropuerto primero debe estar activo</t>
  </si>
  <si>
    <t>Aeropuerto Inactivado</t>
  </si>
  <si>
    <t>Aeropuerto  Consultado</t>
  </si>
  <si>
    <t>Consultar la Información de la Bitácora Diaria</t>
  </si>
  <si>
    <t>Permite consultar la información de una   bitácora</t>
  </si>
  <si>
    <t>Bitácora Diaria</t>
  </si>
  <si>
    <t>información sobre empleado aerolínea</t>
  </si>
  <si>
    <t>Información que indica a que empleado le pertenece la bitácora</t>
  </si>
  <si>
    <t>Bitácora -POL-0001</t>
  </si>
  <si>
    <t>Bitácora Consultada</t>
  </si>
  <si>
    <t>Bitácora Agregada</t>
  </si>
  <si>
    <t>Agregar Bitácora</t>
  </si>
  <si>
    <t>Bitácora Editada</t>
  </si>
  <si>
    <t>Editar Bitácora</t>
  </si>
  <si>
    <t>Bitácora Eliminada</t>
  </si>
  <si>
    <t>Eliminar Bitácora</t>
  </si>
  <si>
    <t>Bitácora Activada</t>
  </si>
  <si>
    <t>Activar Bitácora</t>
  </si>
  <si>
    <t>Bitácora Inactivada</t>
  </si>
  <si>
    <t>Inactivar Bitácora</t>
  </si>
  <si>
    <t>Bitácora -Pol-0007</t>
  </si>
  <si>
    <t>Bitácora -POL-0002</t>
  </si>
  <si>
    <t>No puede existir más de una bitácora realizada con la misma fecha y el mismo empleado.</t>
  </si>
  <si>
    <t>Consultar Bitácora</t>
  </si>
  <si>
    <t>Agregar la  Informacion de la Bitacora Diaria</t>
  </si>
  <si>
    <t>Permite registrar toda la información de la bitacora de un piloto</t>
  </si>
  <si>
    <t>Información de un Empleado Aerolínea</t>
  </si>
  <si>
    <t>Bitacora -POL-0003</t>
  </si>
  <si>
    <t>No puede existir más de una bitácora con el mismo número de página del libro.</t>
  </si>
  <si>
    <t>Bitácora -POL-0008</t>
  </si>
  <si>
    <t>No puede existir otra bitácora con el mismo identificador.</t>
  </si>
  <si>
    <t>Editar la Información de la Bitácora Diaria</t>
  </si>
  <si>
    <t>Permite editar la información de una bitácora</t>
  </si>
  <si>
    <t>Información que indica a que empleado le pertenece la bitácora a editar</t>
  </si>
  <si>
    <t>Bitácora -POL-0003</t>
  </si>
  <si>
    <t>No puede existir más de una bitácora con el mismo número de página del libro</t>
  </si>
  <si>
    <t>Eliminar la Información de la  Bitácora Diaria</t>
  </si>
  <si>
    <t>Permite eliminar información  una bitácora diaria</t>
  </si>
  <si>
    <t>Información que indica a que empleado le pertenece la bitácora a eliminar</t>
  </si>
  <si>
    <t>Activa la Bitácora Diaria</t>
  </si>
  <si>
    <t>Permite activar una bitácora</t>
  </si>
  <si>
    <t>Bitácora -POL-0006</t>
  </si>
  <si>
    <t>La bitacora debe estar previamente desactivada</t>
  </si>
  <si>
    <t>Bitácora Desactivada</t>
  </si>
  <si>
    <t>Desactivar Bitácora</t>
  </si>
  <si>
    <t>Inactivar la Bitácora Diaria</t>
  </si>
  <si>
    <t>Permite desactivar una bitácora</t>
  </si>
  <si>
    <t>Bitacora-Pol-0007</t>
  </si>
  <si>
    <t>Ruta-POL-0005</t>
  </si>
  <si>
    <t>La bitácora debe estar previamente activada</t>
  </si>
  <si>
    <t>Información de la bitácora de vuelo</t>
  </si>
  <si>
    <t>Información que me permite acceder al autor de la bitácora</t>
  </si>
  <si>
    <t xml:space="preserve"> Detalle Bitácora Diaria Agregado</t>
  </si>
  <si>
    <t>Agregar Detalle Bitácora</t>
  </si>
  <si>
    <t>Información del vuelo</t>
  </si>
  <si>
    <t>Información que permite acceder a los datos del vuelo</t>
  </si>
  <si>
    <t>Detalle Bitácora Diaria Editado</t>
  </si>
  <si>
    <t>Editar Detalle Bitácora</t>
  </si>
  <si>
    <t>Consultar la Información de Detalle  de la Bitácora Diaria</t>
  </si>
  <si>
    <t>Permite consultar la información de una bitácora</t>
  </si>
  <si>
    <t>Detalle Bitácora Diaria</t>
  </si>
  <si>
    <t>Información de la matricula</t>
  </si>
  <si>
    <t>Información que permite acceder a la matrícula de la aeronave</t>
  </si>
  <si>
    <t>DetBitacora-POL-0004</t>
  </si>
  <si>
    <t>Bitácora consultada</t>
  </si>
  <si>
    <t>DetBitacora Eliminado</t>
  </si>
  <si>
    <t>Eliminar Detalle Bitácora</t>
  </si>
  <si>
    <t xml:space="preserve">Información el empleado </t>
  </si>
  <si>
    <t>Información que permite saber sobre quien realizo el vuelo</t>
  </si>
  <si>
    <t>información que me permite acceder al autor de la bitácora</t>
  </si>
  <si>
    <t>DetBitacora-POL-0002</t>
  </si>
  <si>
    <t>No puede existir más de una bitácora realizada con la misma fecha.</t>
  </si>
  <si>
    <t>Agregar la Información a Detalle Bitácora Diaria</t>
  </si>
  <si>
    <t>Permite Agregar la información de un empleado que ya existe en la bitácora</t>
  </si>
  <si>
    <t>DetBitacora-POL-0003</t>
  </si>
  <si>
    <t>No puede existir  una bitácora  con OUT,OFF,ON,IN,AIR y BLOCK  con resultados negativos</t>
  </si>
  <si>
    <t>DetBitacora-POL-0001</t>
  </si>
  <si>
    <t>DetBitacora-POL-0005</t>
  </si>
  <si>
    <t>No puede existir más de una bitácora con el mismo id</t>
  </si>
  <si>
    <t xml:space="preserve"> Bitácora Agregada</t>
  </si>
  <si>
    <t>Editar la Informacion  de Detalle Bitacora Diaria</t>
  </si>
  <si>
    <t>Permite actualizar la información de una bitácora que ya existe</t>
  </si>
  <si>
    <t xml:space="preserve"> Bitácora Editada</t>
  </si>
  <si>
    <t>Eliminar Información de un Detalle Bitácora Diaria</t>
  </si>
  <si>
    <t>Permite eliminar un detalle de una bitácora.</t>
  </si>
  <si>
    <t>DetBitacora-POL-0006</t>
  </si>
  <si>
    <t>Asegurar que el empleado no esté vinculado a un detalle bitácora Diaria</t>
  </si>
  <si>
    <t xml:space="preserve">Información del empleado </t>
  </si>
  <si>
    <t>Empleado-POL-0001</t>
  </si>
  <si>
    <t>Consultar Información Empleado</t>
  </si>
  <si>
    <t>Agregar la informacion del Empleado</t>
  </si>
  <si>
    <t>Permite registrar todos los detalles de un empleado</t>
  </si>
  <si>
    <t>Empleado-POL-0002</t>
  </si>
  <si>
    <t>No puede existir más de un  Empleado con el mismo id</t>
  </si>
  <si>
    <t>Empleado Agregado</t>
  </si>
  <si>
    <t>Empleado Consultado</t>
  </si>
  <si>
    <t>Restablecer Contraseña del Empleado</t>
  </si>
  <si>
    <t>Empleado-POL-0003</t>
  </si>
  <si>
    <t>No puede existir más de un  Empleado con el mismo número de identificación</t>
  </si>
  <si>
    <t>Modificar Clave de Empleado</t>
  </si>
  <si>
    <t>Empleado-POL-0004</t>
  </si>
  <si>
    <t>No puede existir más de un  Empleado con el mismo Email</t>
  </si>
  <si>
    <t>Autenticar Información del Empleado</t>
  </si>
  <si>
    <t>Eliminar Información de un Empleado</t>
  </si>
  <si>
    <t>Agregar información de un empleado</t>
  </si>
  <si>
    <t>Consultar la Información del Empleado</t>
  </si>
  <si>
    <t>Permite revisar toda la información de un empleado</t>
  </si>
  <si>
    <t>Empleado-POL-0006</t>
  </si>
  <si>
    <t>Empleado consultado</t>
  </si>
  <si>
    <t>Empleado Contraseña Restablecida</t>
  </si>
  <si>
    <t>Empleado Clave Modificada</t>
  </si>
  <si>
    <t>Empleado Autenticado</t>
  </si>
  <si>
    <t>Empleado Eliminado</t>
  </si>
  <si>
    <t>Restablecer la Contraseña del Empleado</t>
  </si>
  <si>
    <t>Permite restablecer la contraseña de  un empleado</t>
  </si>
  <si>
    <t>Contraseña de un empleado restablecida</t>
  </si>
  <si>
    <t>Modificar la Clave del Empleado</t>
  </si>
  <si>
    <t>Permite modificar la clave de  un empleado</t>
  </si>
  <si>
    <t>Clave Empleado Modificada</t>
  </si>
  <si>
    <t>Autenticar la Información del Empleado</t>
  </si>
  <si>
    <t>Permite autenticar un empleado para que acceda a su información</t>
  </si>
  <si>
    <t xml:space="preserve"> Empleado Consultado</t>
  </si>
  <si>
    <t>Clave de un Empleado Modificada</t>
  </si>
  <si>
    <t>Eliminar la Información del Empleado</t>
  </si>
  <si>
    <t>Permite eliminar un empleado</t>
  </si>
  <si>
    <t>Empleado-POL-0005</t>
  </si>
  <si>
    <t>El empleado debe estar previamente autenticado</t>
  </si>
  <si>
    <t>Empleado eliminado</t>
  </si>
  <si>
    <t>Información de un Empleado Autenticada</t>
  </si>
  <si>
    <t>Modificar la Información del Empleado</t>
  </si>
  <si>
    <t>Permite actualizar la información de un empleado</t>
  </si>
  <si>
    <t>Consultar la Información del  Empleado Aerolínea</t>
  </si>
  <si>
    <t>Permite actualizar la información de un empleado que ya existe en la aerolínea</t>
  </si>
  <si>
    <t>Empleado Aerolínea</t>
  </si>
  <si>
    <t>Información de la aerolínea</t>
  </si>
  <si>
    <t>Información que proporciona el nombre de la aerolínea a la que pertenece el empleado</t>
  </si>
  <si>
    <t>Empleado Aerolinea-POL-0001</t>
  </si>
  <si>
    <t>Empleado  Aerolínea Consultado</t>
  </si>
  <si>
    <t>Empleado Aerolínea Agregado</t>
  </si>
  <si>
    <t>Agregar Empleado Aerolínea</t>
  </si>
  <si>
    <t>Información del empleado</t>
  </si>
  <si>
    <t xml:space="preserve">Información que proporciona los datos del empleado </t>
  </si>
  <si>
    <t>Empleado Aerolínea Editado</t>
  </si>
  <si>
    <t>Editar Empleado Aerolínea</t>
  </si>
  <si>
    <t>Empleado Aerolínea Activado</t>
  </si>
  <si>
    <t>Activar Empleado Aerolínea</t>
  </si>
  <si>
    <t>Empleado Aerolínea Inactivado</t>
  </si>
  <si>
    <t>Inactivar Empleado Aerolínea</t>
  </si>
  <si>
    <t>Editar el Empleado de la Aerolínea</t>
  </si>
  <si>
    <t xml:space="preserve">Permite editar todos los detalles de un empleado de una aerolínea </t>
  </si>
  <si>
    <t>Empleado Aerolinea-POL-0002</t>
  </si>
  <si>
    <t>Empleado  Aerolínea Editado</t>
  </si>
  <si>
    <t>Empleado Aerolínea Consultado</t>
  </si>
  <si>
    <t>Consultar Empleado Aerolínea</t>
  </si>
  <si>
    <t>Empleado Aerolinea-POL-0003</t>
  </si>
  <si>
    <t>El empleado de la Aerolínea debe estar previamente registrado</t>
  </si>
  <si>
    <t>Agregar la Información del Empleado de la  Aerolínea</t>
  </si>
  <si>
    <t>Permite Agregar un empleado de la aerolínea</t>
  </si>
  <si>
    <t>Empleado Aerolinea-POL-0004</t>
  </si>
  <si>
    <t>El  id de un empleado de una  aerolínea no puede repetirse</t>
  </si>
  <si>
    <t>Empleado  Aerolínea Agregado</t>
  </si>
  <si>
    <t>Empleado Aerolinea-POL-0005</t>
  </si>
  <si>
    <t>No puede  existir más de un empleado de una aerolínea con el mismo número BP</t>
  </si>
  <si>
    <t>Activar el Empleado de la Aerolínea</t>
  </si>
  <si>
    <t>Permite activar un empleado de la aerolínea</t>
  </si>
  <si>
    <t>Empleado Aerolinea-POL-0006</t>
  </si>
  <si>
    <t>Asegurar que el empleado  aerolínea este inactivado.</t>
  </si>
  <si>
    <t>Empleado  Aerolínea Activado</t>
  </si>
  <si>
    <t xml:space="preserve"> </t>
  </si>
  <si>
    <t xml:space="preserve">  </t>
  </si>
  <si>
    <t>Inactivar el Empleado de la Aerolínea</t>
  </si>
  <si>
    <t>Permite inactivar un empleado de la aerolínea</t>
  </si>
  <si>
    <t>Empleado Aerolinea-POL-0007</t>
  </si>
  <si>
    <t>Asegurar que el empleado  aerolínea este Activado.</t>
  </si>
  <si>
    <t>Empleado  Aerolínea Inactivado</t>
  </si>
  <si>
    <t>Empleado Activado</t>
  </si>
  <si>
    <t>Consultar la  Información del Fabricante</t>
  </si>
  <si>
    <t>Permite consultar toda la información de un fabricante</t>
  </si>
  <si>
    <t>Fabricante</t>
  </si>
  <si>
    <t>Fabricante-POL-0001</t>
  </si>
  <si>
    <t xml:space="preserve"> Fabricante Consultada</t>
  </si>
  <si>
    <t>Consultar la Información de la Familia de una Aeronave</t>
  </si>
  <si>
    <t>Permite actualizar la información de una familia  que ya existe</t>
  </si>
  <si>
    <t>Información sobre el fabricante de la aeronave</t>
  </si>
  <si>
    <t>Información que proporciona el nombre de la empresa que diseña una aeronave</t>
  </si>
  <si>
    <t>Familia-POL-0001</t>
  </si>
  <si>
    <t>Familia Consultada</t>
  </si>
  <si>
    <t>Consultar la  Información de la Matricula</t>
  </si>
  <si>
    <t>Permite obtener toda la información de la matricula</t>
  </si>
  <si>
    <t xml:space="preserve"> Información sobre el modelo</t>
  </si>
  <si>
    <t>Consultar información que proporciona  el tipo y el motor de la aeronave</t>
  </si>
  <si>
    <t>Matricula-POL-0004</t>
  </si>
  <si>
    <t>Matricula Consultada</t>
  </si>
  <si>
    <t>Matricula Agregada</t>
  </si>
  <si>
    <t>Agregar Matricular</t>
  </si>
  <si>
    <t>Información sobre la aerolínea</t>
  </si>
  <si>
    <t>Consultar información que proporciona  el nombre de la aerolínea</t>
  </si>
  <si>
    <t>Actualizar Matricula</t>
  </si>
  <si>
    <t>Agregar la  Información de la Matricula</t>
  </si>
  <si>
    <t>Permite registrar la información de una matrícula que ya existe en la bitácora</t>
  </si>
  <si>
    <t xml:space="preserve"> Información sobre el modelo </t>
  </si>
  <si>
    <t>Matricula-POL-0001</t>
  </si>
  <si>
    <t>No puede existir más de una matrícula con el mismo id</t>
  </si>
  <si>
    <t>Consultar Matricula</t>
  </si>
  <si>
    <t>Consultar información que proporciona  el nombre de la aerolínea al que le pertenece la matricula</t>
  </si>
  <si>
    <t>Matricula-POL-0002</t>
  </si>
  <si>
    <t xml:space="preserve">No deben existir matriculas duplicadas </t>
  </si>
  <si>
    <t>Matricula-POL-0003</t>
  </si>
  <si>
    <t>Actualizar la  Información  de la Matricula</t>
  </si>
  <si>
    <t>Permite actualizar la información de una matrícula</t>
  </si>
  <si>
    <t>Matricula Actualizada</t>
  </si>
  <si>
    <t>Consultar información del  Modelo de la  Aeronave</t>
  </si>
  <si>
    <t>Permite obtener toda la  información del modelo de una aeronave</t>
  </si>
  <si>
    <t>Información sobre el tipo de aeronave</t>
  </si>
  <si>
    <t xml:space="preserve">Información que selecciona el tipo de aeronave </t>
  </si>
  <si>
    <t>Modelo-POL-0001</t>
  </si>
  <si>
    <t>Modelo  Aeronave Consultado</t>
  </si>
  <si>
    <t>Información sobre el motor de la aeronave</t>
  </si>
  <si>
    <t>Información que selecciona el motor de una aeronave</t>
  </si>
  <si>
    <t>Consultar la Información del Motor</t>
  </si>
  <si>
    <t>Permite revisar toda la información de un motor</t>
  </si>
  <si>
    <t>Motor-POL-0001</t>
  </si>
  <si>
    <t xml:space="preserve"> Motor consultado</t>
  </si>
  <si>
    <t>Consultar Información Ruta</t>
  </si>
  <si>
    <t>Permite obtener  toda la información de ruta</t>
  </si>
  <si>
    <t>Información sobre aeropuerto de origen y destino</t>
  </si>
  <si>
    <t>Información que nos permite saber de qué aeropuerto sale y a cual se llega con la aeronave</t>
  </si>
  <si>
    <t>Ruta-POL-0001</t>
  </si>
  <si>
    <t xml:space="preserve"> Ruta Consultada</t>
  </si>
  <si>
    <t xml:space="preserve">Información sobre el tipo de vuelo </t>
  </si>
  <si>
    <t>Información que nos permite saber qué tipo de vuelo se realizara nacional o internacional</t>
  </si>
  <si>
    <t>Consultar la Información de la  Ruta Aerolinea</t>
  </si>
  <si>
    <t>Permite obtener toda la información de la ruta de una aerolínea.</t>
  </si>
  <si>
    <t>Ruta Aerolínea</t>
  </si>
  <si>
    <t>Información sobre la ruta</t>
  </si>
  <si>
    <t>Información que nos permite acceder a la ruta de vuelos de una aerolínea</t>
  </si>
  <si>
    <t>Ruta-Aerolinea-POL-0001</t>
  </si>
  <si>
    <t xml:space="preserve"> Ruta  Aerolínea Consultada</t>
  </si>
  <si>
    <t>Ruta  Aerolinea Activada</t>
  </si>
  <si>
    <t>Activar Ruta Aerolinea</t>
  </si>
  <si>
    <t>Información que nos permite acceder a los detalles  de una aerolínea</t>
  </si>
  <si>
    <t>Ruta Aerolinea Inactivada</t>
  </si>
  <si>
    <t>Inactivar Ruta Aerolinea</t>
  </si>
  <si>
    <t>información que nos permite saber de qué aeropuerto sale y a cual se llega con la aeronave</t>
  </si>
  <si>
    <t>Ruta-Aerolinea-POL-0006</t>
  </si>
  <si>
    <t>la ruta debe estar previamente activada</t>
  </si>
  <si>
    <t xml:space="preserve"> Ruta Aerolinea Consultada</t>
  </si>
  <si>
    <t>Desactivar la información de la Ruta Aerolnea</t>
  </si>
  <si>
    <t>Permite desactivar la ruta  de una aerolinea</t>
  </si>
  <si>
    <t>Información que nos permite saber qué tipo de vuelo se realizara si es nacional o internacional</t>
  </si>
  <si>
    <t>Ruta-Aerolinea-POL-0007</t>
  </si>
  <si>
    <t xml:space="preserve"> Ruta Aerolinea Activada</t>
  </si>
  <si>
    <t>Consultar Ruta Aerolinea</t>
  </si>
  <si>
    <t>Ruta-Aerolinea-POL-0005</t>
  </si>
  <si>
    <t>la ruta debe estar previamente desactivada</t>
  </si>
  <si>
    <t>Activar la información de la Ruta Aerolinea</t>
  </si>
  <si>
    <t>Permite activar la ruta  de una aerolinea</t>
  </si>
  <si>
    <t>Consultar la Información del tipo Aeronave</t>
  </si>
  <si>
    <t>Permite consultar  toda la  información de un tipo de aeronave</t>
  </si>
  <si>
    <t>Información sobre la  familia</t>
  </si>
  <si>
    <t xml:space="preserve">Información que nos permite acceder a cual  familia de aviones  pertenece  </t>
  </si>
  <si>
    <t>Tipo-POL-0001</t>
  </si>
  <si>
    <t xml:space="preserve"> Tipo  aeronave Consultada</t>
  </si>
  <si>
    <t>Tipo Aeronave Activada</t>
  </si>
  <si>
    <t>Activar Tipo Aeronave</t>
  </si>
  <si>
    <t>Tipo Aeronave  Inactivada</t>
  </si>
  <si>
    <t>Inactivar Tipo Aeronave</t>
  </si>
  <si>
    <t>Inactivar la información del Tipo Aeronave</t>
  </si>
  <si>
    <t>Permite desactivar un tipo de aeronave</t>
  </si>
  <si>
    <t>Tipo-POL-0002</t>
  </si>
  <si>
    <t>Para desactivar un aeronave primero debe estar activa</t>
  </si>
  <si>
    <t>Tipo Aeronave Inactivada</t>
  </si>
  <si>
    <t>Tipo Aeronave Consultada</t>
  </si>
  <si>
    <t>Consultar Tipo Aeronave</t>
  </si>
  <si>
    <t>Tipo-POL-0004</t>
  </si>
  <si>
    <t>Tipo  Aeronave Activada</t>
  </si>
  <si>
    <t>Activar la información del Tipo Aeronave</t>
  </si>
  <si>
    <t>Permite activar un tipo de aeronave</t>
  </si>
  <si>
    <t>Tipo-POL-0003</t>
  </si>
  <si>
    <t>Para activar un aeronave primero debe estar desactivada</t>
  </si>
  <si>
    <t xml:space="preserve"> Tipo Aeronave Inactivada</t>
  </si>
  <si>
    <t>Consultar la Información del Tipo Aeropuerto</t>
  </si>
  <si>
    <t>Permite consultar  los detalles de un tipo aeropuerto</t>
  </si>
  <si>
    <t>TipoAeropuerto-POL-0001</t>
  </si>
  <si>
    <t>Tipo Aeropuerto Consultado</t>
  </si>
  <si>
    <t>Consultar la Informacion del Tipo Integrante</t>
  </si>
  <si>
    <t>Permite consultar toda la información de un tipo de integrante</t>
  </si>
  <si>
    <t>TipoIntegrante-POL-0008</t>
  </si>
  <si>
    <t>Tipo Integrante consultado</t>
  </si>
  <si>
    <t>Consultar la Información del Vuelo</t>
  </si>
  <si>
    <t>Permite obtener  toda la  información de un Vuelo.</t>
  </si>
  <si>
    <t>información de la ruta</t>
  </si>
  <si>
    <t>información que da acceso a la cantidad de vuelos que realiza una determinada aerolínea</t>
  </si>
  <si>
    <t>Vuelo -POL-0001</t>
  </si>
  <si>
    <t>Vuelo Consultado</t>
  </si>
  <si>
    <t>Vuelo Registrado</t>
  </si>
  <si>
    <t>Registrar vuelo</t>
  </si>
  <si>
    <t>Vuelo Editado</t>
  </si>
  <si>
    <t>Editar Vuelo</t>
  </si>
  <si>
    <t>Eliminar vuelo</t>
  </si>
  <si>
    <t>Editar la Información del Vuelo</t>
  </si>
  <si>
    <t>Permite actualizar la información de un vuelo que ya existe.</t>
  </si>
  <si>
    <t>Vuelo -POL-0002</t>
  </si>
  <si>
    <t>No puede existir más de un  vuelo  programado para el mismo piloto para el mismo día y la misma hora.</t>
  </si>
  <si>
    <t>consultar vuelo</t>
  </si>
  <si>
    <t>Vuelo -POL-0003</t>
  </si>
  <si>
    <t>No puede existir más de un  vuelo con el mismo número de vuelo en la misma fecha y la misma aerolínea</t>
  </si>
  <si>
    <t>Vuelo -POL-0005</t>
  </si>
  <si>
    <t>Registrar la Información del Vuelo</t>
  </si>
  <si>
    <t>Permite registrar la información de un vuelo programado</t>
  </si>
  <si>
    <t>Información que da acceso a la cantidad de vuelos que realiza una determinada aerolínea</t>
  </si>
  <si>
    <t>Vuelo-POL-0004</t>
  </si>
  <si>
    <t>No puede existir más de un vuelo con el mismo id</t>
  </si>
  <si>
    <t>Consultar Vuelo</t>
  </si>
  <si>
    <t>Vuelo-POL-0003</t>
  </si>
  <si>
    <t>Vuelo-POL-0005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</si>
</sst>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charset val="1"/>
    </font>
    <font>
      <sz val="10"/>
      <color rgb="FF000000"/>
      <name val="Arial"/>
    </font>
    <font>
      <sz val="10"/>
      <color rgb="FF000000"/>
      <name val="Calibri"/>
      <family val="2"/>
    </font>
    <font>
      <sz val="10"/>
      <color rgb="FF000000"/>
      <name val="Calibri"/>
      <scheme val="minor"/>
    </font>
    <font>
      <sz val="11"/>
      <color rgb="FF000000"/>
      <name val="Aptos Narrow"/>
      <charset val="1"/>
    </font>
    <font>
      <sz val="10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389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10" fillId="0" borderId="0" applyFont="0" applyFill="0" applyBorder="0" applyAlignment="0" applyProtection="0"/>
  </cellStyleXfs>
  <cellXfs count="43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4" borderId="6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4" borderId="5" xfId="1" applyFill="1" applyBorder="1" applyAlignment="1">
      <alignment vertical="center"/>
    </xf>
    <xf numFmtId="0" fontId="2" fillId="4" borderId="7" xfId="1" applyFill="1" applyBorder="1" applyAlignment="1">
      <alignment vertical="center"/>
    </xf>
    <xf numFmtId="0" fontId="4" fillId="1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16" borderId="2" xfId="0" applyFont="1" applyFill="1" applyBorder="1" applyAlignment="1">
      <alignment vertical="center"/>
    </xf>
    <xf numFmtId="0" fontId="1" fillId="16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8" fillId="4" borderId="5" xfId="1" applyFont="1" applyFill="1" applyBorder="1" applyAlignment="1">
      <alignment vertical="center"/>
    </xf>
    <xf numFmtId="0" fontId="0" fillId="0" borderId="28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7" fillId="0" borderId="0" xfId="0" applyFont="1" applyAlignment="1">
      <alignment vertical="center"/>
    </xf>
    <xf numFmtId="0" fontId="4" fillId="12" borderId="10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21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vertical="center" wrapText="1"/>
    </xf>
    <xf numFmtId="0" fontId="0" fillId="2" borderId="4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4" fillId="12" borderId="24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12" borderId="21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left" vertical="center"/>
    </xf>
    <xf numFmtId="0" fontId="4" fillId="8" borderId="33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 wrapText="1"/>
    </xf>
    <xf numFmtId="0" fontId="0" fillId="2" borderId="39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0" fontId="3" fillId="2" borderId="33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 wrapText="1"/>
    </xf>
    <xf numFmtId="0" fontId="3" fillId="2" borderId="33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 wrapText="1"/>
    </xf>
    <xf numFmtId="0" fontId="0" fillId="2" borderId="26" xfId="0" applyFill="1" applyBorder="1" applyAlignment="1">
      <alignment vertical="center"/>
    </xf>
    <xf numFmtId="0" fontId="3" fillId="2" borderId="40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2" borderId="38" xfId="0" applyFill="1" applyBorder="1" applyAlignment="1">
      <alignment vertical="center" wrapText="1"/>
    </xf>
    <xf numFmtId="0" fontId="3" fillId="2" borderId="38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0" fontId="0" fillId="2" borderId="27" xfId="0" applyFill="1" applyBorder="1" applyAlignment="1">
      <alignment vertical="center" wrapText="1"/>
    </xf>
    <xf numFmtId="0" fontId="3" fillId="2" borderId="40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 wrapText="1"/>
    </xf>
    <xf numFmtId="0" fontId="0" fillId="2" borderId="12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0" fillId="2" borderId="54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/>
    </xf>
    <xf numFmtId="0" fontId="0" fillId="2" borderId="54" xfId="0" applyFill="1" applyBorder="1" applyAlignment="1">
      <alignment vertical="center"/>
    </xf>
    <xf numFmtId="0" fontId="0" fillId="2" borderId="12" xfId="0" applyFill="1" applyBorder="1" applyAlignment="1">
      <alignment vertical="center" wrapText="1"/>
    </xf>
    <xf numFmtId="0" fontId="0" fillId="2" borderId="54" xfId="0" applyFill="1" applyBorder="1" applyAlignment="1">
      <alignment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vertical="center" wrapText="1"/>
    </xf>
    <xf numFmtId="0" fontId="4" fillId="15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54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2" xfId="0" applyBorder="1" applyAlignment="1">
      <alignment vertical="center"/>
    </xf>
    <xf numFmtId="0" fontId="3" fillId="2" borderId="4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3" fillId="2" borderId="39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3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3" fillId="2" borderId="26" xfId="0" applyFont="1" applyFill="1" applyBorder="1" applyAlignment="1">
      <alignment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12" fillId="0" borderId="31" xfId="0" applyFont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wrapText="1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wrapText="1"/>
    </xf>
    <xf numFmtId="0" fontId="12" fillId="0" borderId="0" xfId="0" applyFont="1" applyAlignment="1">
      <alignment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2" borderId="19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wrapText="1"/>
    </xf>
    <xf numFmtId="0" fontId="3" fillId="0" borderId="31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3" fillId="2" borderId="39" xfId="0" applyFont="1" applyFill="1" applyBorder="1" applyAlignment="1">
      <alignment wrapText="1"/>
    </xf>
    <xf numFmtId="0" fontId="3" fillId="2" borderId="43" xfId="0" applyFont="1" applyFill="1" applyBorder="1" applyAlignment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45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wrapText="1"/>
    </xf>
    <xf numFmtId="0" fontId="3" fillId="2" borderId="40" xfId="0" applyFont="1" applyFill="1" applyBorder="1" applyAlignment="1">
      <alignment horizontal="center" vertical="top"/>
    </xf>
    <xf numFmtId="0" fontId="3" fillId="2" borderId="27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40" xfId="0" applyFont="1" applyFill="1" applyBorder="1" applyAlignment="1">
      <alignment wrapText="1"/>
    </xf>
    <xf numFmtId="0" fontId="3" fillId="2" borderId="33" xfId="0" applyFont="1" applyFill="1" applyBorder="1" applyAlignment="1">
      <alignment wrapText="1"/>
    </xf>
    <xf numFmtId="0" fontId="3" fillId="2" borderId="31" xfId="0" applyFont="1" applyFill="1" applyBorder="1" applyAlignment="1">
      <alignment vertical="center" wrapText="1"/>
    </xf>
    <xf numFmtId="0" fontId="3" fillId="2" borderId="54" xfId="0" applyFont="1" applyFill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12" xfId="0" applyFont="1" applyBorder="1" applyAlignment="1">
      <alignment wrapText="1"/>
    </xf>
    <xf numFmtId="0" fontId="3" fillId="0" borderId="40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2" borderId="30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47" xfId="0" applyFont="1" applyFill="1" applyBorder="1" applyAlignment="1">
      <alignment vertical="center"/>
    </xf>
    <xf numFmtId="0" fontId="3" fillId="2" borderId="53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0" fontId="3" fillId="2" borderId="62" xfId="0" applyFont="1" applyFill="1" applyBorder="1" applyAlignment="1">
      <alignment vertical="center"/>
    </xf>
    <xf numFmtId="0" fontId="3" fillId="2" borderId="5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top" wrapText="1"/>
    </xf>
    <xf numFmtId="0" fontId="3" fillId="2" borderId="42" xfId="0" applyFont="1" applyFill="1" applyBorder="1" applyAlignment="1">
      <alignment horizontal="center" vertical="top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2" borderId="44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3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 wrapText="1"/>
    </xf>
    <xf numFmtId="0" fontId="3" fillId="0" borderId="38" xfId="0" applyFont="1" applyBorder="1" applyAlignment="1">
      <alignment vertical="center"/>
    </xf>
    <xf numFmtId="0" fontId="3" fillId="2" borderId="41" xfId="0" applyFont="1" applyFill="1" applyBorder="1" applyAlignment="1">
      <alignment wrapText="1"/>
    </xf>
    <xf numFmtId="0" fontId="12" fillId="0" borderId="42" xfId="0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" borderId="42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top"/>
    </xf>
    <xf numFmtId="0" fontId="13" fillId="2" borderId="38" xfId="0" applyFont="1" applyFill="1" applyBorder="1" applyAlignment="1">
      <alignment horizontal="center" vertical="top" wrapText="1"/>
    </xf>
    <xf numFmtId="0" fontId="7" fillId="2" borderId="42" xfId="0" applyFont="1" applyFill="1" applyBorder="1" applyAlignment="1">
      <alignment horizontal="center" vertical="top" wrapText="1"/>
    </xf>
    <xf numFmtId="0" fontId="12" fillId="2" borderId="54" xfId="0" applyFont="1" applyFill="1" applyBorder="1" applyAlignment="1">
      <alignment horizontal="center" wrapText="1"/>
    </xf>
    <xf numFmtId="0" fontId="15" fillId="2" borderId="38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164" fontId="3" fillId="2" borderId="54" xfId="3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wrapText="1"/>
    </xf>
    <xf numFmtId="0" fontId="15" fillId="2" borderId="55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3" fillId="18" borderId="38" xfId="0" applyFont="1" applyFill="1" applyBorder="1" applyAlignment="1">
      <alignment horizontal="center" vertical="center"/>
    </xf>
    <xf numFmtId="0" fontId="3" fillId="18" borderId="38" xfId="0" applyFont="1" applyFill="1" applyBorder="1" applyAlignment="1">
      <alignment vertical="center" wrapText="1"/>
    </xf>
    <xf numFmtId="0" fontId="3" fillId="18" borderId="33" xfId="0" applyFont="1" applyFill="1" applyBorder="1" applyAlignment="1">
      <alignment horizontal="center" vertical="center"/>
    </xf>
    <xf numFmtId="0" fontId="3" fillId="18" borderId="27" xfId="0" applyFont="1" applyFill="1" applyBorder="1" applyAlignment="1">
      <alignment vertical="center" wrapText="1"/>
    </xf>
    <xf numFmtId="0" fontId="3" fillId="18" borderId="33" xfId="0" applyFont="1" applyFill="1" applyBorder="1" applyAlignment="1">
      <alignment vertical="center" wrapText="1"/>
    </xf>
    <xf numFmtId="0" fontId="3" fillId="18" borderId="42" xfId="0" applyFont="1" applyFill="1" applyBorder="1" applyAlignment="1">
      <alignment horizontal="center" vertical="center"/>
    </xf>
    <xf numFmtId="0" fontId="3" fillId="18" borderId="40" xfId="0" applyFont="1" applyFill="1" applyBorder="1" applyAlignment="1">
      <alignment vertical="center" wrapText="1"/>
    </xf>
    <xf numFmtId="0" fontId="3" fillId="18" borderId="39" xfId="0" applyFont="1" applyFill="1" applyBorder="1" applyAlignment="1">
      <alignment horizontal="center" vertical="center" wrapText="1"/>
    </xf>
    <xf numFmtId="0" fontId="3" fillId="18" borderId="27" xfId="0" applyFont="1" applyFill="1" applyBorder="1" applyAlignment="1">
      <alignment vertical="center"/>
    </xf>
    <xf numFmtId="0" fontId="3" fillId="18" borderId="36" xfId="0" applyFont="1" applyFill="1" applyBorder="1" applyAlignment="1">
      <alignment horizontal="center" vertical="center"/>
    </xf>
    <xf numFmtId="0" fontId="7" fillId="18" borderId="42" xfId="0" applyFont="1" applyFill="1" applyBorder="1" applyAlignment="1">
      <alignment horizontal="center" vertical="center" wrapText="1"/>
    </xf>
    <xf numFmtId="0" fontId="3" fillId="18" borderId="31" xfId="0" applyFont="1" applyFill="1" applyBorder="1" applyAlignment="1">
      <alignment horizontal="center" vertical="center"/>
    </xf>
    <xf numFmtId="0" fontId="3" fillId="18" borderId="58" xfId="0" applyFont="1" applyFill="1" applyBorder="1" applyAlignment="1">
      <alignment horizontal="center" vertical="center"/>
    </xf>
    <xf numFmtId="0" fontId="3" fillId="18" borderId="0" xfId="0" applyFont="1" applyFill="1" applyAlignment="1">
      <alignment vertical="center" wrapText="1"/>
    </xf>
    <xf numFmtId="0" fontId="3" fillId="18" borderId="31" xfId="0" applyFont="1" applyFill="1" applyBorder="1" applyAlignment="1">
      <alignment vertical="center" wrapText="1"/>
    </xf>
    <xf numFmtId="0" fontId="3" fillId="18" borderId="43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vertical="center"/>
    </xf>
    <xf numFmtId="0" fontId="3" fillId="18" borderId="16" xfId="0" applyFont="1" applyFill="1" applyBorder="1" applyAlignment="1">
      <alignment horizontal="center" vertical="center"/>
    </xf>
    <xf numFmtId="0" fontId="3" fillId="18" borderId="23" xfId="0" applyFont="1" applyFill="1" applyBorder="1" applyAlignment="1">
      <alignment horizontal="center" vertical="center"/>
    </xf>
    <xf numFmtId="0" fontId="3" fillId="18" borderId="26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3" fillId="18" borderId="43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horizontal="center" vertical="center"/>
    </xf>
    <xf numFmtId="0" fontId="3" fillId="18" borderId="38" xfId="0" applyFont="1" applyFill="1" applyBorder="1" applyAlignment="1">
      <alignment horizontal="center" vertical="center" wrapText="1"/>
    </xf>
    <xf numFmtId="0" fontId="3" fillId="18" borderId="33" xfId="0" applyFont="1" applyFill="1" applyBorder="1" applyAlignment="1">
      <alignment vertical="center"/>
    </xf>
    <xf numFmtId="0" fontId="3" fillId="18" borderId="0" xfId="0" applyFont="1" applyFill="1" applyAlignment="1">
      <alignment horizontal="center" vertical="center"/>
    </xf>
    <xf numFmtId="0" fontId="3" fillId="18" borderId="42" xfId="0" applyFont="1" applyFill="1" applyBorder="1" applyAlignment="1">
      <alignment vertical="center" wrapText="1"/>
    </xf>
    <xf numFmtId="0" fontId="3" fillId="18" borderId="43" xfId="0" applyFont="1" applyFill="1" applyBorder="1" applyAlignment="1">
      <alignment horizontal="center" vertical="center"/>
    </xf>
    <xf numFmtId="0" fontId="3" fillId="18" borderId="42" xfId="0" applyFont="1" applyFill="1" applyBorder="1" applyAlignment="1">
      <alignment horizontal="center" vertical="center" wrapText="1"/>
    </xf>
    <xf numFmtId="0" fontId="3" fillId="18" borderId="42" xfId="0" applyFont="1" applyFill="1" applyBorder="1" applyAlignment="1">
      <alignment vertical="center"/>
    </xf>
    <xf numFmtId="0" fontId="3" fillId="18" borderId="40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vertical="center"/>
    </xf>
    <xf numFmtId="0" fontId="3" fillId="18" borderId="40" xfId="0" applyFont="1" applyFill="1" applyBorder="1" applyAlignment="1">
      <alignment horizontal="center" vertical="center" wrapText="1"/>
    </xf>
    <xf numFmtId="0" fontId="3" fillId="18" borderId="40" xfId="0" applyFont="1" applyFill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3" fillId="2" borderId="38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2" borderId="40" xfId="0" applyFont="1" applyFill="1" applyBorder="1" applyAlignment="1">
      <alignment horizontal="center" wrapText="1"/>
    </xf>
    <xf numFmtId="0" fontId="3" fillId="2" borderId="31" xfId="0" applyFont="1" applyFill="1" applyBorder="1" applyAlignment="1">
      <alignment horizontal="center" wrapText="1"/>
    </xf>
    <xf numFmtId="0" fontId="3" fillId="0" borderId="46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 wrapText="1"/>
    </xf>
    <xf numFmtId="0" fontId="3" fillId="0" borderId="37" xfId="0" applyFont="1" applyBorder="1" applyAlignment="1">
      <alignment horizontal="center" vertical="center"/>
    </xf>
    <xf numFmtId="0" fontId="3" fillId="2" borderId="39" xfId="0" applyFont="1" applyFill="1" applyBorder="1" applyAlignment="1">
      <alignment horizontal="center" wrapText="1"/>
    </xf>
    <xf numFmtId="0" fontId="3" fillId="0" borderId="6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wrapText="1"/>
    </xf>
    <xf numFmtId="0" fontId="3" fillId="2" borderId="43" xfId="0" applyFont="1" applyFill="1" applyBorder="1" applyAlignment="1">
      <alignment horizontal="center" wrapText="1"/>
    </xf>
    <xf numFmtId="0" fontId="3" fillId="0" borderId="2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16" fillId="0" borderId="33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 indent="1"/>
    </xf>
    <xf numFmtId="0" fontId="3" fillId="2" borderId="41" xfId="0" applyFont="1" applyFill="1" applyBorder="1" applyAlignment="1">
      <alignment horizontal="center" vertical="center" wrapText="1" indent="1"/>
    </xf>
    <xf numFmtId="0" fontId="16" fillId="2" borderId="33" xfId="0" applyFont="1" applyFill="1" applyBorder="1" applyAlignment="1">
      <alignment horizontal="center" wrapText="1"/>
    </xf>
    <xf numFmtId="0" fontId="16" fillId="2" borderId="31" xfId="0" applyFont="1" applyFill="1" applyBorder="1" applyAlignment="1">
      <alignment horizontal="center" wrapText="1"/>
    </xf>
    <xf numFmtId="0" fontId="15" fillId="2" borderId="54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3" fillId="2" borderId="44" xfId="0" applyFont="1" applyFill="1" applyBorder="1" applyAlignment="1">
      <alignment vertical="center" wrapText="1" indent="1"/>
    </xf>
    <xf numFmtId="0" fontId="15" fillId="2" borderId="38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0" borderId="23" xfId="0" applyFont="1" applyBorder="1" applyAlignment="1">
      <alignment vertical="center" wrapText="1"/>
    </xf>
    <xf numFmtId="0" fontId="17" fillId="0" borderId="26" xfId="0" applyFont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7" fillId="2" borderId="10" xfId="0" applyFont="1" applyFill="1" applyBorder="1" applyAlignment="1">
      <alignment vertical="center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vertical="center" wrapText="1"/>
    </xf>
    <xf numFmtId="0" fontId="17" fillId="2" borderId="11" xfId="0" applyFont="1" applyFill="1" applyBorder="1" applyAlignment="1">
      <alignment vertical="center"/>
    </xf>
    <xf numFmtId="0" fontId="15" fillId="2" borderId="54" xfId="0" applyFont="1" applyFill="1" applyBorder="1" applyAlignment="1">
      <alignment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0" fillId="17" borderId="3" xfId="0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7" borderId="6" xfId="0" applyFill="1" applyBorder="1" applyAlignment="1">
      <alignment horizontal="left" vertical="center"/>
    </xf>
    <xf numFmtId="0" fontId="2" fillId="0" borderId="0" xfId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 wrapText="1"/>
    </xf>
    <xf numFmtId="0" fontId="4" fillId="12" borderId="24" xfId="0" applyFont="1" applyFill="1" applyBorder="1" applyAlignment="1">
      <alignment horizontal="center" vertical="center" wrapText="1"/>
    </xf>
    <xf numFmtId="0" fontId="4" fillId="9" borderId="34" xfId="0" applyFont="1" applyFill="1" applyBorder="1" applyAlignment="1">
      <alignment horizontal="center" vertical="center"/>
    </xf>
    <xf numFmtId="0" fontId="4" fillId="9" borderId="57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horizontal="center" vertical="center" wrapText="1"/>
    </xf>
    <xf numFmtId="0" fontId="3" fillId="15" borderId="39" xfId="0" applyFont="1" applyFill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0" fillId="2" borderId="66" xfId="0" applyFill="1" applyBorder="1" applyAlignment="1">
      <alignment horizontal="center" vertical="center" wrapText="1"/>
    </xf>
    <xf numFmtId="0" fontId="0" fillId="2" borderId="61" xfId="0" applyFill="1" applyBorder="1" applyAlignment="1">
      <alignment horizontal="center" vertical="center" wrapText="1"/>
    </xf>
    <xf numFmtId="0" fontId="0" fillId="2" borderId="67" xfId="0" applyFill="1" applyBorder="1" applyAlignment="1">
      <alignment horizontal="center" vertical="center" wrapText="1"/>
    </xf>
    <xf numFmtId="0" fontId="0" fillId="2" borderId="62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</cellXfs>
  <cellStyles count="4">
    <cellStyle name="Hipervínculo" xfId="1" builtinId="8"/>
    <cellStyle name="Hyperlink" xfId="2" xr:uid="{00000000-000B-0000-0000-000008000000}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F0066"/>
      <color rgb="FFCC99FF"/>
      <color rgb="FFFDD3DD"/>
      <color rgb="FFC3895D"/>
      <color rgb="FFFA90B1"/>
      <color rgb="FFFDD3FA"/>
      <color rgb="FFFCFCAA"/>
      <color rgb="FFC1EE5C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152400</xdr:colOff>
      <xdr:row>70</xdr:row>
      <xdr:rowOff>133350</xdr:rowOff>
    </xdr:from>
    <xdr:to>
      <xdr:col>53</xdr:col>
      <xdr:colOff>650875</xdr:colOff>
      <xdr:row>150</xdr:row>
      <xdr:rowOff>174626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21C96A-8105-276B-DA18-749977EF6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12801600"/>
          <a:ext cx="30216475" cy="14519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:B10"/>
  <sheetViews>
    <sheetView zoomScale="25" zoomScaleNormal="25" workbookViewId="0">
      <selection activeCell="BI102" sqref="BI102"/>
    </sheetView>
  </sheetViews>
  <sheetFormatPr defaultColWidth="11.42578125" defaultRowHeight="14.45"/>
  <cols>
    <col min="1" max="16384" width="11.42578125" style="2"/>
  </cols>
  <sheetData>
    <row r="1" spans="1:2">
      <c r="A1"/>
    </row>
    <row r="10" spans="1:2">
      <c r="B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E64"/>
  <sheetViews>
    <sheetView topLeftCell="C1" zoomScaleNormal="100" workbookViewId="0">
      <pane ySplit="3" topLeftCell="A4" activePane="bottomLeft" state="frozen"/>
      <selection pane="bottomLeft" activeCell="A15" sqref="A15:XFD15"/>
    </sheetView>
  </sheetViews>
  <sheetFormatPr defaultColWidth="11.42578125" defaultRowHeight="14.45"/>
  <cols>
    <col min="1" max="1" width="19.85546875" style="1" bestFit="1" customWidth="1"/>
    <col min="2" max="2" width="153.140625" style="1" customWidth="1"/>
    <col min="3" max="3" width="17.42578125" style="1" bestFit="1" customWidth="1"/>
    <col min="4" max="4" width="8.5703125" style="1" bestFit="1" customWidth="1"/>
    <col min="5" max="16384" width="11.42578125" style="1"/>
  </cols>
  <sheetData>
    <row r="1" spans="1:4">
      <c r="A1" s="21" t="s">
        <v>0</v>
      </c>
      <c r="B1" s="348"/>
      <c r="C1" s="348"/>
      <c r="D1" s="349"/>
    </row>
    <row r="2" spans="1:4">
      <c r="A2" s="22" t="s">
        <v>1</v>
      </c>
      <c r="B2" s="350"/>
      <c r="C2" s="350"/>
      <c r="D2" s="351"/>
    </row>
    <row r="3" spans="1:4">
      <c r="A3" s="23" t="s">
        <v>2</v>
      </c>
      <c r="B3" s="19" t="s">
        <v>3</v>
      </c>
      <c r="C3" s="19" t="s">
        <v>4</v>
      </c>
      <c r="D3" s="24" t="s">
        <v>5</v>
      </c>
    </row>
    <row r="4" spans="1:4">
      <c r="A4" s="16" t="s">
        <v>6</v>
      </c>
      <c r="B4" s="27" t="s">
        <v>7</v>
      </c>
      <c r="C4" s="20" t="s">
        <v>8</v>
      </c>
      <c r="D4" s="3" t="s">
        <v>9</v>
      </c>
    </row>
    <row r="5" spans="1:4">
      <c r="A5" s="16" t="s">
        <v>10</v>
      </c>
      <c r="B5" s="27" t="s">
        <v>11</v>
      </c>
      <c r="C5" s="20" t="s">
        <v>12</v>
      </c>
      <c r="D5" s="3" t="s">
        <v>13</v>
      </c>
    </row>
    <row r="6" spans="1:4">
      <c r="A6" s="17" t="s">
        <v>14</v>
      </c>
      <c r="B6" s="27" t="s">
        <v>15</v>
      </c>
      <c r="C6" s="25" t="s">
        <v>12</v>
      </c>
      <c r="D6" s="4" t="s">
        <v>9</v>
      </c>
    </row>
    <row r="7" spans="1:4">
      <c r="A7" s="17" t="s">
        <v>16</v>
      </c>
      <c r="B7" s="27" t="s">
        <v>17</v>
      </c>
      <c r="C7" s="25" t="s">
        <v>12</v>
      </c>
      <c r="D7" s="4" t="s">
        <v>9</v>
      </c>
    </row>
    <row r="8" spans="1:4">
      <c r="A8" s="17" t="s">
        <v>18</v>
      </c>
      <c r="B8" s="27" t="s">
        <v>19</v>
      </c>
      <c r="C8" s="25" t="s">
        <v>8</v>
      </c>
      <c r="D8" s="4" t="s">
        <v>9</v>
      </c>
    </row>
    <row r="9" spans="1:4" ht="21" customHeight="1">
      <c r="A9" s="17" t="s">
        <v>20</v>
      </c>
      <c r="B9" s="27" t="s">
        <v>21</v>
      </c>
      <c r="C9" s="25" t="s">
        <v>12</v>
      </c>
      <c r="D9" s="4" t="s">
        <v>9</v>
      </c>
    </row>
    <row r="10" spans="1:4">
      <c r="A10" s="17" t="s">
        <v>22</v>
      </c>
      <c r="B10" s="27" t="s">
        <v>23</v>
      </c>
      <c r="C10" s="25" t="s">
        <v>8</v>
      </c>
      <c r="D10" s="4" t="s">
        <v>9</v>
      </c>
    </row>
    <row r="11" spans="1:4">
      <c r="A11" s="17" t="s">
        <v>24</v>
      </c>
      <c r="B11" s="27" t="s">
        <v>25</v>
      </c>
      <c r="C11" s="25" t="s">
        <v>12</v>
      </c>
      <c r="D11" s="4" t="s">
        <v>9</v>
      </c>
    </row>
    <row r="12" spans="1:4">
      <c r="A12" s="17" t="s">
        <v>26</v>
      </c>
      <c r="B12" s="27" t="s">
        <v>27</v>
      </c>
      <c r="C12" s="25" t="s">
        <v>12</v>
      </c>
      <c r="D12" s="4" t="s">
        <v>9</v>
      </c>
    </row>
    <row r="13" spans="1:4">
      <c r="A13" s="17" t="s">
        <v>28</v>
      </c>
      <c r="B13" s="27" t="s">
        <v>29</v>
      </c>
      <c r="C13" s="25" t="s">
        <v>12</v>
      </c>
      <c r="D13" s="4" t="s">
        <v>9</v>
      </c>
    </row>
    <row r="14" spans="1:4">
      <c r="A14" s="17" t="s">
        <v>30</v>
      </c>
      <c r="B14" s="27" t="s">
        <v>31</v>
      </c>
      <c r="C14" s="25" t="s">
        <v>8</v>
      </c>
      <c r="D14" s="4" t="s">
        <v>9</v>
      </c>
    </row>
    <row r="15" spans="1:4">
      <c r="A15" s="17" t="s">
        <v>32</v>
      </c>
      <c r="B15" s="27" t="s">
        <v>33</v>
      </c>
      <c r="C15" s="25" t="s">
        <v>12</v>
      </c>
      <c r="D15" s="4" t="s">
        <v>9</v>
      </c>
    </row>
    <row r="16" spans="1:4">
      <c r="A16" s="17" t="s">
        <v>34</v>
      </c>
      <c r="B16" s="27" t="s">
        <v>35</v>
      </c>
      <c r="C16" s="25" t="s">
        <v>12</v>
      </c>
      <c r="D16" s="4" t="s">
        <v>9</v>
      </c>
    </row>
    <row r="17" spans="1:4">
      <c r="A17" s="17" t="s">
        <v>36</v>
      </c>
      <c r="B17" s="27" t="s">
        <v>37</v>
      </c>
      <c r="C17" s="25" t="s">
        <v>12</v>
      </c>
      <c r="D17" s="4" t="s">
        <v>9</v>
      </c>
    </row>
    <row r="18" spans="1:4">
      <c r="A18" s="17" t="s">
        <v>38</v>
      </c>
      <c r="B18" s="27" t="s">
        <v>39</v>
      </c>
      <c r="C18" s="25" t="s">
        <v>8</v>
      </c>
      <c r="D18" s="4" t="s">
        <v>9</v>
      </c>
    </row>
    <row r="19" spans="1:4">
      <c r="A19" s="17" t="s">
        <v>40</v>
      </c>
      <c r="B19" s="27" t="s">
        <v>41</v>
      </c>
      <c r="C19" s="25" t="s">
        <v>8</v>
      </c>
      <c r="D19" s="4" t="s">
        <v>9</v>
      </c>
    </row>
    <row r="20" spans="1:4">
      <c r="A20" s="17" t="s">
        <v>42</v>
      </c>
      <c r="B20" s="27" t="s">
        <v>43</v>
      </c>
      <c r="C20" s="25" t="s">
        <v>12</v>
      </c>
      <c r="D20" s="4" t="s">
        <v>9</v>
      </c>
    </row>
    <row r="42" spans="1:5" ht="15">
      <c r="A42" s="1" t="s">
        <v>44</v>
      </c>
      <c r="B42" s="26" t="s">
        <v>45</v>
      </c>
      <c r="C42" s="1" t="s">
        <v>8</v>
      </c>
      <c r="E42" s="1">
        <v>1</v>
      </c>
    </row>
    <row r="43" spans="1:5" ht="30.75">
      <c r="A43" s="1" t="s">
        <v>38</v>
      </c>
      <c r="B43" s="26" t="s">
        <v>46</v>
      </c>
      <c r="C43" s="1" t="s">
        <v>8</v>
      </c>
      <c r="E43" s="1">
        <v>1</v>
      </c>
    </row>
    <row r="44" spans="1:5" ht="45.75">
      <c r="A44" s="1" t="s">
        <v>6</v>
      </c>
      <c r="B44" s="26" t="s">
        <v>47</v>
      </c>
      <c r="C44" s="1" t="s">
        <v>8</v>
      </c>
      <c r="E44" s="1">
        <v>1</v>
      </c>
    </row>
    <row r="45" spans="1:5" ht="30.75">
      <c r="A45" s="1" t="s">
        <v>18</v>
      </c>
      <c r="B45" s="26" t="s">
        <v>48</v>
      </c>
      <c r="C45" s="1" t="s">
        <v>8</v>
      </c>
      <c r="E45" s="1">
        <v>1</v>
      </c>
    </row>
    <row r="46" spans="1:5" ht="30.75">
      <c r="A46" s="1" t="s">
        <v>40</v>
      </c>
      <c r="B46" s="26" t="s">
        <v>49</v>
      </c>
      <c r="C46" s="1" t="s">
        <v>8</v>
      </c>
      <c r="E46" s="1">
        <v>1</v>
      </c>
    </row>
    <row r="47" spans="1:5" ht="30.75">
      <c r="A47" s="1" t="s">
        <v>22</v>
      </c>
      <c r="B47" s="26" t="s">
        <v>50</v>
      </c>
      <c r="C47" s="1" t="s">
        <v>8</v>
      </c>
      <c r="E47" s="1">
        <v>1</v>
      </c>
    </row>
    <row r="48" spans="1:5" ht="30.75">
      <c r="A48" s="1" t="s">
        <v>30</v>
      </c>
      <c r="B48" s="26" t="s">
        <v>51</v>
      </c>
      <c r="C48" s="1" t="s">
        <v>8</v>
      </c>
      <c r="E48" s="1">
        <v>1</v>
      </c>
    </row>
    <row r="49" spans="1:5" ht="30.75">
      <c r="A49" s="1" t="s">
        <v>52</v>
      </c>
      <c r="B49" s="26" t="s">
        <v>53</v>
      </c>
      <c r="C49" s="1" t="s">
        <v>12</v>
      </c>
      <c r="E49" s="1">
        <v>2</v>
      </c>
    </row>
    <row r="50" spans="1:5" ht="30.75">
      <c r="A50" s="1" t="s">
        <v>20</v>
      </c>
      <c r="B50" s="26" t="s">
        <v>54</v>
      </c>
      <c r="C50" s="1" t="s">
        <v>12</v>
      </c>
      <c r="E50" s="1">
        <v>2</v>
      </c>
    </row>
    <row r="51" spans="1:5" ht="30.75">
      <c r="A51" s="1" t="s">
        <v>24</v>
      </c>
      <c r="B51" s="26" t="s">
        <v>55</v>
      </c>
      <c r="C51" s="1" t="s">
        <v>12</v>
      </c>
      <c r="E51" s="1">
        <v>2</v>
      </c>
    </row>
    <row r="52" spans="1:5" ht="30.75">
      <c r="A52" s="1" t="s">
        <v>56</v>
      </c>
      <c r="B52" s="26" t="s">
        <v>57</v>
      </c>
      <c r="C52" s="1" t="s">
        <v>12</v>
      </c>
      <c r="E52" s="1">
        <v>3</v>
      </c>
    </row>
    <row r="53" spans="1:5" ht="30.75">
      <c r="A53" s="1" t="s">
        <v>14</v>
      </c>
      <c r="B53" s="26" t="s">
        <v>58</v>
      </c>
      <c r="C53" s="1" t="s">
        <v>12</v>
      </c>
      <c r="E53" s="1">
        <v>3</v>
      </c>
    </row>
    <row r="54" spans="1:5" ht="30.75">
      <c r="A54" s="26" t="s">
        <v>36</v>
      </c>
      <c r="B54" s="26" t="s">
        <v>59</v>
      </c>
      <c r="C54" s="1" t="s">
        <v>12</v>
      </c>
      <c r="E54" s="1">
        <v>3</v>
      </c>
    </row>
    <row r="55" spans="1:5" ht="30.75">
      <c r="A55" s="1" t="s">
        <v>10</v>
      </c>
      <c r="B55" s="26" t="s">
        <v>60</v>
      </c>
      <c r="C55" s="1" t="s">
        <v>12</v>
      </c>
      <c r="E55" s="1">
        <v>4</v>
      </c>
    </row>
    <row r="56" spans="1:5" ht="30.75">
      <c r="A56" s="1" t="s">
        <v>28</v>
      </c>
      <c r="B56" s="26" t="s">
        <v>61</v>
      </c>
      <c r="C56" s="1" t="s">
        <v>12</v>
      </c>
      <c r="E56" s="1">
        <v>4</v>
      </c>
    </row>
    <row r="57" spans="1:5" ht="30.75">
      <c r="A57" s="1" t="s">
        <v>32</v>
      </c>
      <c r="B57" s="26" t="s">
        <v>62</v>
      </c>
      <c r="C57" s="1" t="s">
        <v>12</v>
      </c>
      <c r="E57" s="1">
        <v>5</v>
      </c>
    </row>
    <row r="58" spans="1:5" ht="30.75">
      <c r="A58" s="1" t="s">
        <v>26</v>
      </c>
      <c r="B58" s="26" t="s">
        <v>63</v>
      </c>
      <c r="C58" s="1" t="s">
        <v>12</v>
      </c>
      <c r="E58" s="1">
        <v>5</v>
      </c>
    </row>
    <row r="59" spans="1:5" ht="30.75">
      <c r="A59" s="1" t="s">
        <v>34</v>
      </c>
      <c r="B59" s="26" t="s">
        <v>64</v>
      </c>
      <c r="C59" s="1" t="s">
        <v>12</v>
      </c>
      <c r="E59" s="1">
        <v>6</v>
      </c>
    </row>
    <row r="60" spans="1:5" ht="30.75">
      <c r="A60" s="1" t="s">
        <v>42</v>
      </c>
      <c r="B60" s="26" t="s">
        <v>65</v>
      </c>
      <c r="C60" s="1" t="s">
        <v>12</v>
      </c>
      <c r="E60" s="1">
        <v>7</v>
      </c>
    </row>
    <row r="61" spans="1:5" ht="45.75">
      <c r="A61" s="1" t="s">
        <v>16</v>
      </c>
      <c r="B61" s="26" t="s">
        <v>66</v>
      </c>
      <c r="C61" s="1" t="s">
        <v>12</v>
      </c>
      <c r="E61" s="1">
        <v>8</v>
      </c>
    </row>
    <row r="62" spans="1:5" ht="15"/>
    <row r="63" spans="1:5" ht="15"/>
    <row r="64" spans="1:5" ht="15"/>
  </sheetData>
  <sortState xmlns:xlrd2="http://schemas.microsoft.com/office/spreadsheetml/2017/richdata2" ref="A4:C20">
    <sortCondition ref="A4:A20"/>
  </sortState>
  <mergeCells count="2">
    <mergeCell ref="B1:D1"/>
    <mergeCell ref="B2:D2"/>
  </mergeCells>
  <hyperlinks>
    <hyperlink ref="A4" location="'Objeto Dominio N'!A1" display="Objeto Dominio N" xr:uid="{7E61E3F0-0C27-49BA-8A71-784A949CFF1B}"/>
    <hyperlink ref="A18" location="'Objeto Dominio 2'!A1" display="Objeto Dominio 2" xr:uid="{02C9F19B-EE12-42DD-8827-5C5B317B717F}"/>
    <hyperlink ref="A8" location="'Objeto Dominio N'!A1" display="Objeto Dominio N" xr:uid="{07642C1A-6968-4D3A-A7C3-EAE830EE7207}"/>
  </hyperlink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sheetPr>
    <tabColor theme="4"/>
  </sheetPr>
  <dimension ref="A1:N20"/>
  <sheetViews>
    <sheetView topLeftCell="B11" zoomScale="90" zoomScaleNormal="90" workbookViewId="0">
      <selection activeCell="H16" sqref="H16"/>
    </sheetView>
  </sheetViews>
  <sheetFormatPr defaultColWidth="11.42578125" defaultRowHeight="14.45"/>
  <cols>
    <col min="1" max="1" width="23.85546875" style="1" bestFit="1" customWidth="1"/>
    <col min="2" max="2" width="16.5703125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8.5703125" style="1" customWidth="1"/>
    <col min="8" max="8" width="15.28515625" style="1" bestFit="1" customWidth="1"/>
    <col min="9" max="9" width="23.85546875" style="1" customWidth="1"/>
    <col min="10" max="10" width="28.5703125" style="1" bestFit="1" customWidth="1"/>
    <col min="11" max="11" width="16.28515625" style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 ht="15" thickBot="1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Dominio'!$A$4</f>
        <v>Aerolinea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Dominio'!$B$4</f>
        <v>Objeto de dominio que representa aquel grupo de personas expertas  en mantenimiento , dominio y control  tanto  en lo social como en lo aeronautico para un bien comun.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31.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6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 ht="15">
      <c r="A6" s="359"/>
      <c r="B6" s="360"/>
      <c r="C6" s="360"/>
      <c r="D6" s="385"/>
      <c r="E6" s="35" t="s">
        <v>87</v>
      </c>
      <c r="F6" s="80" t="s">
        <v>3</v>
      </c>
      <c r="G6" s="82" t="s">
        <v>88</v>
      </c>
      <c r="H6" s="81" t="s">
        <v>3</v>
      </c>
      <c r="I6" s="362"/>
      <c r="J6" s="364"/>
      <c r="K6" s="372"/>
      <c r="L6" s="368"/>
      <c r="M6" s="370"/>
    </row>
    <row r="7" spans="1:14" ht="201.75" customHeight="1">
      <c r="A7" s="187" t="s">
        <v>89</v>
      </c>
      <c r="B7" s="325" t="s">
        <v>90</v>
      </c>
      <c r="C7" s="326" t="s">
        <v>91</v>
      </c>
      <c r="D7" s="208" t="s">
        <v>92</v>
      </c>
      <c r="E7" s="94"/>
      <c r="F7" s="95"/>
      <c r="G7" s="60" t="s">
        <v>93</v>
      </c>
      <c r="H7" s="184" t="s">
        <v>94</v>
      </c>
      <c r="I7" s="60"/>
      <c r="J7" s="187" t="s">
        <v>95</v>
      </c>
      <c r="K7" s="187"/>
      <c r="L7" s="130" t="s">
        <v>96</v>
      </c>
      <c r="M7" s="189" t="s">
        <v>97</v>
      </c>
    </row>
    <row r="8" spans="1:14" ht="136.5" customHeight="1">
      <c r="A8" s="188"/>
      <c r="B8" s="153"/>
      <c r="C8" s="327"/>
      <c r="D8" s="191"/>
      <c r="E8" s="105"/>
      <c r="F8" s="160"/>
      <c r="G8" s="116"/>
      <c r="H8" s="216"/>
      <c r="I8" s="116"/>
      <c r="J8" s="188"/>
      <c r="K8" s="138"/>
      <c r="L8" s="172" t="s">
        <v>98</v>
      </c>
      <c r="M8" s="130" t="s">
        <v>99</v>
      </c>
    </row>
    <row r="9" spans="1:14" ht="65.099999999999994" customHeight="1">
      <c r="A9" s="139"/>
      <c r="B9" s="133"/>
      <c r="C9" s="139"/>
      <c r="D9" s="139"/>
      <c r="E9" s="139"/>
      <c r="F9" s="126"/>
      <c r="G9" s="116" t="s">
        <v>100</v>
      </c>
      <c r="H9" s="141" t="s">
        <v>101</v>
      </c>
      <c r="I9" s="133"/>
      <c r="J9" s="133"/>
      <c r="K9" s="172"/>
      <c r="L9" s="161" t="s">
        <v>95</v>
      </c>
      <c r="M9" s="133" t="s">
        <v>97</v>
      </c>
    </row>
    <row r="10" spans="1:14" ht="65.099999999999994" customHeight="1">
      <c r="A10" s="139" t="s">
        <v>102</v>
      </c>
      <c r="B10" s="142" t="s">
        <v>103</v>
      </c>
      <c r="C10" s="69" t="s">
        <v>104</v>
      </c>
      <c r="D10" s="69" t="s">
        <v>92</v>
      </c>
      <c r="E10" s="69"/>
      <c r="F10" s="69"/>
      <c r="G10" s="66" t="s">
        <v>105</v>
      </c>
      <c r="H10" s="69" t="s">
        <v>106</v>
      </c>
      <c r="I10" s="142"/>
      <c r="J10" s="133" t="s">
        <v>98</v>
      </c>
      <c r="K10" s="172"/>
      <c r="L10" s="161" t="s">
        <v>96</v>
      </c>
      <c r="M10" s="189" t="s">
        <v>107</v>
      </c>
    </row>
    <row r="11" spans="1:14" ht="155.25" customHeight="1">
      <c r="A11" s="139"/>
      <c r="B11" s="142"/>
      <c r="C11" s="142"/>
      <c r="D11" s="142"/>
      <c r="E11" s="142"/>
      <c r="F11" s="68"/>
      <c r="G11" s="115" t="s">
        <v>108</v>
      </c>
      <c r="H11" s="225" t="s">
        <v>109</v>
      </c>
      <c r="I11" s="142"/>
      <c r="J11" s="133"/>
      <c r="K11" s="172"/>
      <c r="L11" s="227"/>
      <c r="M11" s="202"/>
    </row>
    <row r="12" spans="1:14" ht="51" customHeight="1">
      <c r="A12" s="373" t="s">
        <v>102</v>
      </c>
      <c r="B12" s="378" t="s">
        <v>110</v>
      </c>
      <c r="C12" s="381" t="s">
        <v>111</v>
      </c>
      <c r="D12" s="373" t="s">
        <v>92</v>
      </c>
      <c r="E12" s="161"/>
      <c r="F12" s="145"/>
      <c r="G12" s="83" t="s">
        <v>100</v>
      </c>
      <c r="H12" s="68" t="s">
        <v>112</v>
      </c>
      <c r="I12" s="70"/>
      <c r="J12" s="208" t="s">
        <v>96</v>
      </c>
      <c r="K12" s="161"/>
      <c r="L12" s="172" t="s">
        <v>95</v>
      </c>
      <c r="M12" s="139" t="s">
        <v>113</v>
      </c>
    </row>
    <row r="13" spans="1:14" ht="15">
      <c r="A13" s="374"/>
      <c r="B13" s="379"/>
      <c r="C13" s="382"/>
      <c r="D13" s="374"/>
      <c r="E13" s="139"/>
      <c r="F13" s="142"/>
      <c r="G13" s="68"/>
      <c r="H13" s="60"/>
      <c r="I13" s="69"/>
      <c r="J13" s="172"/>
      <c r="K13" s="139"/>
      <c r="L13" s="228"/>
      <c r="M13" s="227"/>
    </row>
    <row r="14" spans="1:14" ht="48" customHeight="1">
      <c r="A14" s="374"/>
      <c r="B14" s="379"/>
      <c r="C14" s="382"/>
      <c r="D14" s="374"/>
      <c r="E14" s="139"/>
      <c r="F14" s="142"/>
      <c r="G14" s="68" t="s">
        <v>105</v>
      </c>
      <c r="H14" s="66" t="s">
        <v>114</v>
      </c>
      <c r="I14" s="69"/>
      <c r="J14" s="172"/>
      <c r="K14" s="139"/>
      <c r="L14" s="373" t="s">
        <v>98</v>
      </c>
      <c r="M14" s="373" t="s">
        <v>107</v>
      </c>
    </row>
    <row r="15" spans="1:14" ht="14.45" customHeight="1">
      <c r="A15" s="374"/>
      <c r="B15" s="379"/>
      <c r="C15" s="382"/>
      <c r="D15" s="374"/>
      <c r="E15" s="139"/>
      <c r="F15" s="133"/>
      <c r="G15" s="191"/>
      <c r="H15" s="126"/>
      <c r="I15" s="139"/>
      <c r="J15" s="172"/>
      <c r="K15" s="139"/>
      <c r="L15" s="374"/>
      <c r="M15" s="374"/>
    </row>
    <row r="16" spans="1:14" ht="126.75" customHeight="1">
      <c r="A16" s="375"/>
      <c r="B16" s="380"/>
      <c r="C16" s="383"/>
      <c r="D16" s="375"/>
      <c r="E16" s="138"/>
      <c r="F16" s="144"/>
      <c r="G16" s="154" t="s">
        <v>108</v>
      </c>
      <c r="H16" s="225" t="s">
        <v>109</v>
      </c>
      <c r="I16" s="144"/>
      <c r="J16" s="191"/>
      <c r="K16" s="138"/>
      <c r="L16" s="375"/>
      <c r="M16" s="375"/>
    </row>
    <row r="17" ht="15"/>
    <row r="18" ht="15"/>
    <row r="20" ht="15"/>
  </sheetData>
  <mergeCells count="23">
    <mergeCell ref="L14:L16"/>
    <mergeCell ref="M14:M16"/>
    <mergeCell ref="G5:H5"/>
    <mergeCell ref="A12:A16"/>
    <mergeCell ref="B12:B16"/>
    <mergeCell ref="C12:C16"/>
    <mergeCell ref="D12:D16"/>
    <mergeCell ref="D5:D6"/>
    <mergeCell ref="A1:N1"/>
    <mergeCell ref="B2:M2"/>
    <mergeCell ref="B3:M3"/>
    <mergeCell ref="B4:C4"/>
    <mergeCell ref="A5:A6"/>
    <mergeCell ref="B5:B6"/>
    <mergeCell ref="C5:C6"/>
    <mergeCell ref="I5:I6"/>
    <mergeCell ref="J5:J6"/>
    <mergeCell ref="E4:F4"/>
    <mergeCell ref="G4:H4"/>
    <mergeCell ref="L4:L6"/>
    <mergeCell ref="M4:M6"/>
    <mergeCell ref="E5:F5"/>
    <mergeCell ref="K5:K6"/>
  </mergeCells>
  <phoneticPr fontId="9" type="noConversion"/>
  <hyperlinks>
    <hyperlink ref="A1" location="'Objetos de Dominio'!A1" display="Volver al inicio" xr:uid="{D411DE6F-B6AA-4877-8454-AEC23893A3C7}"/>
    <hyperlink ref="A1:N1" location="'Listado Objetos de Dominio'!A1" display="&lt;-Volver al inicio" xr:uid="{53B8BD25-0D2C-4313-BB8B-9056FACF80A3}"/>
    <hyperlink ref="D1" location="'Listado Objetos de Dominio'!A1" display="&lt;-Volver al inicio" xr:uid="{6EF63257-035A-4505-A6A1-EA8BF4D2182C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F544-4E23-4368-9A5C-A72DF04A28E8}">
  <sheetPr>
    <tabColor rgb="FFFFC000"/>
  </sheetPr>
  <dimension ref="A1:N13"/>
  <sheetViews>
    <sheetView zoomScale="85" zoomScaleNormal="85" workbookViewId="0">
      <selection activeCell="J8" sqref="J8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0.140625" style="1" customWidth="1"/>
    <col min="8" max="8" width="15.28515625" style="1" bestFit="1" customWidth="1"/>
    <col min="9" max="9" width="20.57031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134" t="s">
        <v>68</v>
      </c>
      <c r="B2" s="388" t="str">
        <f>'Listado Objetos de Dominio'!$A$5</f>
        <v>Aeropuerto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9"/>
      <c r="N2" s="5"/>
    </row>
    <row r="3" spans="1:14" ht="15.75" customHeight="1">
      <c r="A3" s="135" t="s">
        <v>69</v>
      </c>
      <c r="B3" s="390" t="str">
        <f>'Listado Objetos de Dominio'!$B$5</f>
        <v>Objeto de dominio que representa a cada uno de los aeropuertos que están ubicados dentro de una ciudad.</v>
      </c>
      <c r="C3" s="390"/>
      <c r="D3" s="390"/>
      <c r="E3" s="391"/>
      <c r="F3" s="391"/>
      <c r="G3" s="391"/>
      <c r="H3" s="391"/>
      <c r="I3" s="391"/>
      <c r="J3" s="391"/>
      <c r="K3" s="391"/>
      <c r="L3" s="391"/>
      <c r="M3" s="392"/>
      <c r="N3" s="6"/>
    </row>
    <row r="4" spans="1:14" ht="22.5" customHeight="1">
      <c r="A4" s="117" t="s">
        <v>70</v>
      </c>
      <c r="B4" s="393" t="s">
        <v>71</v>
      </c>
      <c r="C4" s="394"/>
      <c r="D4" s="119" t="s">
        <v>72</v>
      </c>
      <c r="E4" s="39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 ht="15">
      <c r="A5" s="396" t="s">
        <v>70</v>
      </c>
      <c r="B5" s="398" t="s">
        <v>80</v>
      </c>
      <c r="C5" s="398" t="s">
        <v>3</v>
      </c>
      <c r="D5" s="400" t="s">
        <v>81</v>
      </c>
      <c r="E5" s="39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 ht="15">
      <c r="A6" s="397"/>
      <c r="B6" s="399"/>
      <c r="C6" s="399"/>
      <c r="D6" s="401"/>
      <c r="E6" s="53" t="s">
        <v>87</v>
      </c>
      <c r="F6" s="14" t="s">
        <v>3</v>
      </c>
      <c r="G6" s="49" t="s">
        <v>88</v>
      </c>
      <c r="H6" s="49" t="s">
        <v>3</v>
      </c>
      <c r="I6" s="362"/>
      <c r="J6" s="364"/>
      <c r="K6" s="372"/>
      <c r="L6" s="368"/>
      <c r="M6" s="370"/>
    </row>
    <row r="7" spans="1:14" ht="154.5" customHeight="1">
      <c r="A7" s="223" t="s">
        <v>89</v>
      </c>
      <c r="B7" s="69" t="s">
        <v>115</v>
      </c>
      <c r="C7" s="142" t="s">
        <v>116</v>
      </c>
      <c r="D7" s="172" t="s">
        <v>10</v>
      </c>
      <c r="E7" s="386" t="s">
        <v>117</v>
      </c>
      <c r="F7" s="386" t="s">
        <v>118</v>
      </c>
      <c r="G7" s="60" t="s">
        <v>119</v>
      </c>
      <c r="H7" s="70" t="s">
        <v>94</v>
      </c>
      <c r="I7" s="145"/>
      <c r="J7" s="173" t="s">
        <v>120</v>
      </c>
      <c r="K7" s="165"/>
      <c r="L7" s="161" t="s">
        <v>121</v>
      </c>
      <c r="M7" s="168" t="s">
        <v>122</v>
      </c>
    </row>
    <row r="8" spans="1:14" ht="58.5" customHeight="1">
      <c r="A8" s="221"/>
      <c r="B8" s="224"/>
      <c r="C8" s="222"/>
      <c r="D8" s="221"/>
      <c r="E8" s="383"/>
      <c r="F8" s="387"/>
      <c r="G8" s="188"/>
      <c r="H8" s="138"/>
      <c r="I8" s="142"/>
      <c r="J8" s="221"/>
      <c r="K8" s="171"/>
      <c r="L8" s="187" t="s">
        <v>123</v>
      </c>
      <c r="M8" s="130" t="s">
        <v>124</v>
      </c>
    </row>
    <row r="9" spans="1:14" ht="82.5" customHeight="1">
      <c r="A9" s="161" t="s">
        <v>102</v>
      </c>
      <c r="B9" s="137" t="s">
        <v>125</v>
      </c>
      <c r="C9" s="136" t="s">
        <v>126</v>
      </c>
      <c r="D9" s="165" t="s">
        <v>10</v>
      </c>
      <c r="E9" s="70" t="s">
        <v>117</v>
      </c>
      <c r="F9" s="56" t="s">
        <v>127</v>
      </c>
      <c r="G9" s="136" t="s">
        <v>128</v>
      </c>
      <c r="H9" s="66" t="s">
        <v>129</v>
      </c>
      <c r="I9" s="164"/>
      <c r="J9" s="167" t="s">
        <v>130</v>
      </c>
      <c r="K9" s="165"/>
      <c r="L9" s="161" t="s">
        <v>120</v>
      </c>
      <c r="M9" s="133" t="s">
        <v>131</v>
      </c>
    </row>
    <row r="10" spans="1:14" ht="144.75" customHeight="1">
      <c r="A10" s="139"/>
      <c r="B10" s="137"/>
      <c r="C10" s="136"/>
      <c r="D10" s="171"/>
      <c r="E10" s="69"/>
      <c r="F10" s="68"/>
      <c r="G10" s="115" t="s">
        <v>132</v>
      </c>
      <c r="H10" s="225" t="s">
        <v>109</v>
      </c>
      <c r="I10" s="173"/>
      <c r="J10" s="172"/>
      <c r="K10" s="171"/>
      <c r="L10" s="224"/>
      <c r="M10" s="162" t="s">
        <v>124</v>
      </c>
    </row>
    <row r="11" spans="1:14" ht="71.25" customHeight="1">
      <c r="A11" s="187" t="s">
        <v>102</v>
      </c>
      <c r="B11" s="140" t="s">
        <v>133</v>
      </c>
      <c r="C11" s="60" t="s">
        <v>134</v>
      </c>
      <c r="D11" s="187" t="s">
        <v>10</v>
      </c>
      <c r="E11" s="60" t="s">
        <v>117</v>
      </c>
      <c r="F11" s="60" t="s">
        <v>135</v>
      </c>
      <c r="G11" s="66" t="s">
        <v>136</v>
      </c>
      <c r="H11" s="66" t="s">
        <v>137</v>
      </c>
      <c r="I11" s="187"/>
      <c r="J11" s="187" t="s">
        <v>138</v>
      </c>
      <c r="K11" s="187"/>
      <c r="L11" s="139" t="s">
        <v>139</v>
      </c>
      <c r="M11" s="133" t="s">
        <v>131</v>
      </c>
    </row>
    <row r="12" spans="1:14" ht="112.5" customHeight="1">
      <c r="A12" s="188"/>
      <c r="B12" s="120"/>
      <c r="C12" s="116"/>
      <c r="D12" s="188"/>
      <c r="E12" s="116"/>
      <c r="F12" s="116"/>
      <c r="G12" s="115" t="s">
        <v>132</v>
      </c>
      <c r="H12" s="225" t="s">
        <v>109</v>
      </c>
      <c r="I12" s="191"/>
      <c r="J12" s="188"/>
      <c r="K12" s="188"/>
      <c r="L12" s="226"/>
      <c r="M12" s="130" t="s">
        <v>122</v>
      </c>
    </row>
    <row r="13" spans="1:14" ht="15"/>
  </sheetData>
  <mergeCells count="19">
    <mergeCell ref="G5:H5"/>
    <mergeCell ref="I5:I6"/>
    <mergeCell ref="J5:J6"/>
    <mergeCell ref="E7:E8"/>
    <mergeCell ref="F7:F8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phoneticPr fontId="9" type="noConversion"/>
  <hyperlinks>
    <hyperlink ref="A1" location="'Objetos de Dominio'!A1" display="Volver al inicio" xr:uid="{9232B4BD-E403-4FF3-B94F-E5D85C1F8BDE}"/>
    <hyperlink ref="A1:N1" location="'Listado Objetos de Dominio'!A1" display="&lt;-Volver al inicio" xr:uid="{DE3FE9F6-729B-4C5E-8F05-93A8EA646EE7}"/>
    <hyperlink ref="D1" location="'Listado Objetos de Dominio'!A1" display="&lt;-Volver al inicio" xr:uid="{B10A6F40-402B-429B-B9E4-91565935B299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1D5D-28CA-4409-8F34-20B5C9F9A277}">
  <sheetPr>
    <tabColor theme="6"/>
  </sheetPr>
  <dimension ref="A1:N48"/>
  <sheetViews>
    <sheetView topLeftCell="A27" zoomScale="106" zoomScaleNormal="106" workbookViewId="0">
      <selection activeCell="B32" sqref="B32"/>
    </sheetView>
  </sheetViews>
  <sheetFormatPr defaultColWidth="11.42578125" defaultRowHeight="14.45"/>
  <cols>
    <col min="1" max="1" width="23.85546875" style="1" bestFit="1" customWidth="1"/>
    <col min="2" max="2" width="17.710937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8.1406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Dominio'!$A$6</f>
        <v>Bitacora Diaria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Dominio'!$B$6</f>
        <v>Objeto de dominio que representa la fecha,el empleado y pagina del libro sobre el vuelo realizado.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15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52.25" customHeight="1">
      <c r="A7" s="187" t="s">
        <v>89</v>
      </c>
      <c r="B7" s="140" t="s">
        <v>140</v>
      </c>
      <c r="C7" s="60" t="s">
        <v>141</v>
      </c>
      <c r="D7" s="187" t="s">
        <v>142</v>
      </c>
      <c r="E7" s="60" t="s">
        <v>143</v>
      </c>
      <c r="F7" s="70" t="s">
        <v>144</v>
      </c>
      <c r="G7" s="208" t="s">
        <v>145</v>
      </c>
      <c r="H7" s="307" t="s">
        <v>94</v>
      </c>
      <c r="I7" s="187"/>
      <c r="J7" s="187" t="s">
        <v>146</v>
      </c>
      <c r="K7" s="161"/>
      <c r="L7" s="208" t="s">
        <v>147</v>
      </c>
      <c r="M7" s="161" t="s">
        <v>148</v>
      </c>
    </row>
    <row r="8" spans="1:14" ht="36" customHeight="1">
      <c r="A8" s="126"/>
      <c r="B8" s="126"/>
      <c r="C8" s="66"/>
      <c r="D8" s="126"/>
      <c r="E8" s="126"/>
      <c r="F8" s="139"/>
      <c r="G8" s="172"/>
      <c r="H8" s="308"/>
      <c r="I8" s="126"/>
      <c r="J8" s="126"/>
      <c r="K8" s="139"/>
      <c r="L8" s="305" t="s">
        <v>149</v>
      </c>
      <c r="M8" s="305" t="s">
        <v>150</v>
      </c>
    </row>
    <row r="9" spans="1:14" ht="28.5" customHeight="1">
      <c r="A9" s="126"/>
      <c r="B9" s="126"/>
      <c r="C9" s="66"/>
      <c r="D9" s="126"/>
      <c r="E9" s="126"/>
      <c r="F9" s="139"/>
      <c r="G9" s="172"/>
      <c r="H9" s="308"/>
      <c r="I9" s="126"/>
      <c r="J9" s="126"/>
      <c r="K9" s="139"/>
      <c r="L9" s="309" t="s">
        <v>151</v>
      </c>
      <c r="M9" s="310" t="s">
        <v>152</v>
      </c>
    </row>
    <row r="10" spans="1:14" ht="25.5" customHeight="1">
      <c r="A10" s="126"/>
      <c r="B10" s="126"/>
      <c r="C10" s="66"/>
      <c r="D10" s="126"/>
      <c r="E10" s="126"/>
      <c r="F10" s="139"/>
      <c r="G10" s="172"/>
      <c r="H10" s="308"/>
      <c r="I10" s="126"/>
      <c r="J10" s="126"/>
      <c r="K10" s="139"/>
      <c r="L10" s="210" t="s">
        <v>153</v>
      </c>
      <c r="M10" s="310" t="s">
        <v>154</v>
      </c>
    </row>
    <row r="11" spans="1:14" ht="39.75" customHeight="1">
      <c r="A11" s="188"/>
      <c r="B11" s="188"/>
      <c r="C11" s="116"/>
      <c r="D11" s="188"/>
      <c r="E11" s="188"/>
      <c r="F11" s="138"/>
      <c r="G11" s="191"/>
      <c r="H11" s="311"/>
      <c r="I11" s="188"/>
      <c r="J11" s="188"/>
      <c r="K11" s="138"/>
      <c r="L11" s="221" t="s">
        <v>155</v>
      </c>
      <c r="M11" s="211" t="s">
        <v>156</v>
      </c>
    </row>
    <row r="12" spans="1:14" ht="140.25" customHeight="1">
      <c r="A12" s="139"/>
      <c r="B12" s="173"/>
      <c r="C12" s="171"/>
      <c r="D12" s="139"/>
      <c r="E12" s="173"/>
      <c r="F12" s="171"/>
      <c r="G12" s="193" t="s">
        <v>157</v>
      </c>
      <c r="H12" s="312" t="s">
        <v>109</v>
      </c>
      <c r="I12" s="139"/>
      <c r="J12" s="172"/>
      <c r="K12" s="126"/>
      <c r="L12" s="310"/>
      <c r="M12" s="313" t="s">
        <v>150</v>
      </c>
    </row>
    <row r="13" spans="1:14" ht="128.25" customHeight="1">
      <c r="A13" s="139"/>
      <c r="B13" s="173"/>
      <c r="C13" s="171"/>
      <c r="D13" s="139"/>
      <c r="E13" s="173"/>
      <c r="F13" s="171"/>
      <c r="G13" s="126" t="s">
        <v>158</v>
      </c>
      <c r="H13" s="314" t="s">
        <v>159</v>
      </c>
      <c r="I13" s="139"/>
      <c r="J13" s="172"/>
      <c r="K13" s="126"/>
      <c r="L13" s="139"/>
      <c r="M13" s="315" t="s">
        <v>160</v>
      </c>
    </row>
    <row r="14" spans="1:14" ht="93.75" customHeight="1">
      <c r="A14" s="139" t="s">
        <v>89</v>
      </c>
      <c r="B14" s="137" t="s">
        <v>161</v>
      </c>
      <c r="C14" s="223" t="s">
        <v>162</v>
      </c>
      <c r="D14" s="139" t="s">
        <v>142</v>
      </c>
      <c r="E14" s="180" t="s">
        <v>163</v>
      </c>
      <c r="F14" s="223" t="s">
        <v>144</v>
      </c>
      <c r="G14" s="161" t="s">
        <v>164</v>
      </c>
      <c r="H14" s="316" t="s">
        <v>165</v>
      </c>
      <c r="I14" s="139"/>
      <c r="J14" s="172" t="s">
        <v>147</v>
      </c>
      <c r="K14" s="126"/>
      <c r="L14" s="139" t="s">
        <v>146</v>
      </c>
      <c r="M14" s="315" t="s">
        <v>152</v>
      </c>
    </row>
    <row r="15" spans="1:14" ht="53.25" customHeight="1">
      <c r="A15" s="139"/>
      <c r="B15" s="137"/>
      <c r="C15" s="223"/>
      <c r="D15" s="139"/>
      <c r="E15" s="173"/>
      <c r="F15" s="171"/>
      <c r="G15" s="161" t="s">
        <v>166</v>
      </c>
      <c r="H15" s="316" t="s">
        <v>167</v>
      </c>
      <c r="I15" s="133"/>
      <c r="J15" s="172"/>
      <c r="K15" s="126"/>
      <c r="L15" s="139"/>
      <c r="M15" s="317" t="s">
        <v>154</v>
      </c>
    </row>
    <row r="16" spans="1:14" ht="58.5" customHeight="1">
      <c r="A16" s="139"/>
      <c r="B16" s="137"/>
      <c r="C16" s="223"/>
      <c r="D16" s="138"/>
      <c r="E16" s="173"/>
      <c r="F16" s="171"/>
      <c r="G16" s="209"/>
      <c r="H16" s="222"/>
      <c r="I16" s="133"/>
      <c r="J16" s="172"/>
      <c r="K16" s="126"/>
      <c r="L16" s="138"/>
      <c r="M16" s="318" t="s">
        <v>156</v>
      </c>
    </row>
    <row r="17" spans="1:13" ht="135.75" customHeight="1">
      <c r="A17" s="187"/>
      <c r="B17" s="187"/>
      <c r="C17" s="161"/>
      <c r="D17" s="172"/>
      <c r="E17" s="161"/>
      <c r="F17" s="208"/>
      <c r="G17" s="130" t="s">
        <v>157</v>
      </c>
      <c r="H17" s="206" t="s">
        <v>109</v>
      </c>
      <c r="I17" s="187"/>
      <c r="J17" s="187"/>
      <c r="K17" s="161"/>
      <c r="L17" s="183" t="s">
        <v>146</v>
      </c>
      <c r="M17" s="319" t="s">
        <v>160</v>
      </c>
    </row>
    <row r="18" spans="1:13" ht="99.75" customHeight="1">
      <c r="A18" s="126" t="s">
        <v>89</v>
      </c>
      <c r="B18" s="65" t="s">
        <v>168</v>
      </c>
      <c r="C18" s="69" t="s">
        <v>169</v>
      </c>
      <c r="D18" s="172" t="s">
        <v>142</v>
      </c>
      <c r="E18" s="69" t="s">
        <v>143</v>
      </c>
      <c r="F18" s="68" t="s">
        <v>170</v>
      </c>
      <c r="G18" s="138" t="s">
        <v>158</v>
      </c>
      <c r="H18" s="320" t="s">
        <v>159</v>
      </c>
      <c r="I18" s="172"/>
      <c r="J18" s="126" t="s">
        <v>149</v>
      </c>
      <c r="K18" s="139"/>
      <c r="L18" s="201" t="s">
        <v>147</v>
      </c>
      <c r="M18" s="161" t="s">
        <v>152</v>
      </c>
    </row>
    <row r="19" spans="1:13" ht="92.25" customHeight="1">
      <c r="A19" s="126"/>
      <c r="B19" s="65"/>
      <c r="C19" s="69"/>
      <c r="D19" s="172"/>
      <c r="E19" s="139"/>
      <c r="F19" s="172"/>
      <c r="G19" s="139" t="s">
        <v>171</v>
      </c>
      <c r="H19" s="321" t="s">
        <v>172</v>
      </c>
      <c r="I19" s="172"/>
      <c r="J19" s="126"/>
      <c r="K19" s="139"/>
      <c r="L19" s="167" t="s">
        <v>153</v>
      </c>
      <c r="M19" s="130" t="s">
        <v>154</v>
      </c>
    </row>
    <row r="20" spans="1:13" ht="64.5" customHeight="1">
      <c r="A20" s="126"/>
      <c r="B20" s="65"/>
      <c r="C20" s="69"/>
      <c r="D20" s="172"/>
      <c r="E20" s="139"/>
      <c r="F20" s="172"/>
      <c r="G20" s="139"/>
      <c r="H20" s="321"/>
      <c r="I20" s="172"/>
      <c r="J20" s="126"/>
      <c r="K20" s="139"/>
      <c r="L20" s="167" t="s">
        <v>155</v>
      </c>
      <c r="M20" s="170" t="s">
        <v>156</v>
      </c>
    </row>
    <row r="21" spans="1:13" ht="153" customHeight="1">
      <c r="A21" s="187" t="s">
        <v>89</v>
      </c>
      <c r="B21" s="60" t="s">
        <v>173</v>
      </c>
      <c r="C21" s="60" t="s">
        <v>174</v>
      </c>
      <c r="D21" s="187" t="s">
        <v>142</v>
      </c>
      <c r="E21" s="70" t="s">
        <v>143</v>
      </c>
      <c r="F21" s="59" t="s">
        <v>175</v>
      </c>
      <c r="G21" s="161" t="s">
        <v>157</v>
      </c>
      <c r="H21" s="316" t="s">
        <v>109</v>
      </c>
      <c r="I21" s="189"/>
      <c r="J21" s="405" t="s">
        <v>151</v>
      </c>
      <c r="K21" s="373"/>
      <c r="L21" s="322" t="s">
        <v>146</v>
      </c>
      <c r="M21" s="161" t="s">
        <v>160</v>
      </c>
    </row>
    <row r="22" spans="1:13" ht="76.5" customHeight="1">
      <c r="A22" s="220"/>
      <c r="B22" s="220"/>
      <c r="C22" s="220"/>
      <c r="D22" s="220"/>
      <c r="E22" s="139"/>
      <c r="F22" s="172"/>
      <c r="G22" s="139"/>
      <c r="H22" s="321"/>
      <c r="I22" s="133"/>
      <c r="J22" s="406"/>
      <c r="K22" s="374"/>
      <c r="L22" s="322" t="s">
        <v>147</v>
      </c>
      <c r="M22" s="139"/>
    </row>
    <row r="23" spans="1:13" ht="76.5" customHeight="1">
      <c r="A23" s="126"/>
      <c r="B23" s="126"/>
      <c r="C23" s="66"/>
      <c r="D23" s="126"/>
      <c r="E23" s="209"/>
      <c r="F23" s="221"/>
      <c r="G23" s="139"/>
      <c r="H23" s="321"/>
      <c r="I23" s="133"/>
      <c r="J23" s="406"/>
      <c r="K23" s="374"/>
      <c r="L23" s="402" t="s">
        <v>149</v>
      </c>
      <c r="M23" s="139"/>
    </row>
    <row r="24" spans="1:13" ht="76.5" customHeight="1">
      <c r="A24" s="126"/>
      <c r="B24" s="126"/>
      <c r="C24" s="66"/>
      <c r="D24" s="126"/>
      <c r="E24" s="139"/>
      <c r="F24" s="172"/>
      <c r="G24" s="139"/>
      <c r="H24" s="321"/>
      <c r="I24" s="133"/>
      <c r="J24" s="406"/>
      <c r="K24" s="374"/>
      <c r="L24" s="404"/>
      <c r="M24" s="139"/>
    </row>
    <row r="25" spans="1:13" ht="76.5" customHeight="1">
      <c r="A25" s="126"/>
      <c r="B25" s="126"/>
      <c r="C25" s="66"/>
      <c r="D25" s="126"/>
      <c r="E25" s="139"/>
      <c r="F25" s="172"/>
      <c r="G25" s="139"/>
      <c r="H25" s="321"/>
      <c r="I25" s="133"/>
      <c r="J25" s="172"/>
      <c r="K25" s="139"/>
      <c r="L25" s="221" t="s">
        <v>153</v>
      </c>
      <c r="M25" s="139"/>
    </row>
    <row r="26" spans="1:13" ht="76.5" customHeight="1">
      <c r="A26" s="126"/>
      <c r="B26" s="126"/>
      <c r="C26" s="66"/>
      <c r="D26" s="126"/>
      <c r="E26" s="139"/>
      <c r="F26" s="172"/>
      <c r="G26" s="138"/>
      <c r="H26" s="323"/>
      <c r="I26" s="133"/>
      <c r="J26" s="172"/>
      <c r="K26" s="139"/>
      <c r="L26" s="318" t="s">
        <v>155</v>
      </c>
      <c r="M26" s="144"/>
    </row>
    <row r="27" spans="1:13" ht="111.75" customHeight="1">
      <c r="A27" s="187"/>
      <c r="B27" s="187"/>
      <c r="C27" s="187"/>
      <c r="D27" s="187"/>
      <c r="E27" s="373"/>
      <c r="F27" s="405"/>
      <c r="G27" s="139" t="s">
        <v>157</v>
      </c>
      <c r="H27" s="206" t="s">
        <v>109</v>
      </c>
      <c r="I27" s="204"/>
      <c r="J27" s="407" t="s">
        <v>153</v>
      </c>
      <c r="K27" s="161"/>
      <c r="L27" s="221" t="s">
        <v>146</v>
      </c>
      <c r="M27" s="139" t="s">
        <v>160</v>
      </c>
    </row>
    <row r="28" spans="1:13" ht="56.25" customHeight="1">
      <c r="A28" s="126" t="s">
        <v>89</v>
      </c>
      <c r="B28" s="66" t="s">
        <v>176</v>
      </c>
      <c r="C28" s="66" t="s">
        <v>177</v>
      </c>
      <c r="D28" s="126" t="s">
        <v>142</v>
      </c>
      <c r="E28" s="374"/>
      <c r="F28" s="406"/>
      <c r="G28" s="187" t="s">
        <v>178</v>
      </c>
      <c r="H28" s="307" t="s">
        <v>179</v>
      </c>
      <c r="I28" s="126"/>
      <c r="J28" s="408"/>
      <c r="K28" s="139"/>
      <c r="L28" s="322" t="s">
        <v>180</v>
      </c>
      <c r="M28" s="161" t="s">
        <v>152</v>
      </c>
    </row>
    <row r="29" spans="1:13" ht="15">
      <c r="A29" s="126"/>
      <c r="B29" s="126"/>
      <c r="C29" s="66"/>
      <c r="D29" s="126"/>
      <c r="E29" s="374"/>
      <c r="F29" s="406"/>
      <c r="G29" s="126"/>
      <c r="H29" s="308"/>
      <c r="I29" s="126"/>
      <c r="J29" s="408"/>
      <c r="K29" s="139"/>
      <c r="L29" s="402" t="s">
        <v>147</v>
      </c>
      <c r="M29" s="161" t="s">
        <v>181</v>
      </c>
    </row>
    <row r="30" spans="1:13" ht="15">
      <c r="A30" s="126"/>
      <c r="B30" s="126"/>
      <c r="C30" s="66"/>
      <c r="D30" s="126"/>
      <c r="E30" s="374"/>
      <c r="F30" s="406"/>
      <c r="G30" s="126"/>
      <c r="H30" s="308"/>
      <c r="I30" s="126"/>
      <c r="J30" s="408"/>
      <c r="K30" s="139"/>
      <c r="L30" s="403"/>
      <c r="M30" s="138"/>
    </row>
    <row r="31" spans="1:13" ht="15">
      <c r="A31" s="126"/>
      <c r="B31" s="126"/>
      <c r="C31" s="66"/>
      <c r="D31" s="126"/>
      <c r="E31" s="139"/>
      <c r="F31" s="172"/>
      <c r="G31" s="220"/>
      <c r="H31" s="308"/>
      <c r="I31" s="126"/>
      <c r="J31" s="220"/>
      <c r="K31" s="220"/>
      <c r="L31" s="248" t="s">
        <v>149</v>
      </c>
      <c r="M31" s="139" t="s">
        <v>150</v>
      </c>
    </row>
    <row r="32" spans="1:13" ht="120" customHeight="1">
      <c r="A32" s="187" t="s">
        <v>89</v>
      </c>
      <c r="B32" s="60" t="s">
        <v>182</v>
      </c>
      <c r="C32" s="60" t="s">
        <v>183</v>
      </c>
      <c r="D32" s="187" t="s">
        <v>142</v>
      </c>
      <c r="E32" s="407"/>
      <c r="F32" s="373"/>
      <c r="G32" s="189" t="s">
        <v>184</v>
      </c>
      <c r="H32" s="324" t="s">
        <v>109</v>
      </c>
      <c r="I32" s="204"/>
      <c r="J32" s="410" t="s">
        <v>155</v>
      </c>
      <c r="K32" s="413"/>
      <c r="L32" s="309" t="s">
        <v>146</v>
      </c>
      <c r="M32" s="161" t="s">
        <v>160</v>
      </c>
    </row>
    <row r="33" spans="1:13" ht="58.5" customHeight="1">
      <c r="A33" s="220"/>
      <c r="B33" s="220"/>
      <c r="C33" s="220"/>
      <c r="D33" s="220"/>
      <c r="E33" s="408"/>
      <c r="F33" s="408"/>
      <c r="G33" s="187" t="s">
        <v>185</v>
      </c>
      <c r="H33" s="307" t="s">
        <v>186</v>
      </c>
      <c r="I33" s="126"/>
      <c r="J33" s="411"/>
      <c r="K33" s="414"/>
      <c r="L33" s="309" t="s">
        <v>147</v>
      </c>
      <c r="M33" s="161" t="s">
        <v>150</v>
      </c>
    </row>
    <row r="34" spans="1:13" ht="36" customHeight="1">
      <c r="A34" s="126"/>
      <c r="B34" s="126"/>
      <c r="C34" s="66"/>
      <c r="D34" s="126"/>
      <c r="E34" s="408"/>
      <c r="F34" s="408"/>
      <c r="G34" s="220"/>
      <c r="H34" s="220"/>
      <c r="I34" s="126"/>
      <c r="J34" s="411"/>
      <c r="K34" s="403"/>
      <c r="L34" s="265" t="s">
        <v>153</v>
      </c>
      <c r="M34" s="130" t="s">
        <v>154</v>
      </c>
    </row>
    <row r="35" spans="1:13" ht="38.25" customHeight="1">
      <c r="A35" s="188"/>
      <c r="B35" s="188"/>
      <c r="C35" s="116"/>
      <c r="D35" s="188"/>
      <c r="E35" s="409"/>
      <c r="F35" s="409"/>
      <c r="G35" s="188"/>
      <c r="H35" s="116"/>
      <c r="I35" s="188"/>
      <c r="J35" s="412"/>
      <c r="K35" s="415"/>
      <c r="L35" s="222" t="s">
        <v>149</v>
      </c>
      <c r="M35" s="144" t="s">
        <v>152</v>
      </c>
    </row>
    <row r="36" spans="1:13" ht="15">
      <c r="A36" s="30"/>
      <c r="B36" s="30"/>
      <c r="C36" s="33"/>
      <c r="D36" s="30"/>
      <c r="E36" s="37"/>
      <c r="F36" s="37"/>
      <c r="G36" s="157"/>
      <c r="H36" s="39"/>
      <c r="I36" s="37"/>
      <c r="J36" s="159"/>
      <c r="K36" s="31"/>
    </row>
    <row r="37" spans="1:13" ht="15">
      <c r="A37" s="30"/>
      <c r="B37" s="30"/>
      <c r="C37" s="33"/>
      <c r="D37" s="30"/>
      <c r="E37" s="37"/>
      <c r="F37" s="37"/>
      <c r="G37" s="157"/>
      <c r="H37" s="39"/>
      <c r="I37" s="37"/>
      <c r="J37" s="159"/>
      <c r="K37" s="31"/>
      <c r="L37" s="159"/>
      <c r="M37" s="30"/>
    </row>
    <row r="38" spans="1:13" ht="15">
      <c r="A38" s="30"/>
      <c r="B38" s="30"/>
      <c r="C38" s="33"/>
      <c r="D38" s="30"/>
      <c r="E38" s="37"/>
      <c r="F38" s="37"/>
      <c r="G38" s="157"/>
      <c r="H38" s="39"/>
      <c r="I38" s="37"/>
      <c r="J38" s="159"/>
      <c r="K38" s="31"/>
      <c r="L38" s="159"/>
      <c r="M38" s="30"/>
    </row>
    <row r="39" spans="1:13" ht="15">
      <c r="A39" s="30"/>
      <c r="B39" s="30"/>
      <c r="C39" s="33"/>
      <c r="D39" s="30"/>
      <c r="E39" s="37"/>
      <c r="F39" s="37"/>
      <c r="G39" s="157"/>
      <c r="H39" s="39"/>
      <c r="I39" s="37"/>
      <c r="J39" s="159"/>
      <c r="K39" s="31"/>
      <c r="L39" s="159"/>
      <c r="M39" s="30"/>
    </row>
    <row r="40" spans="1:13" ht="15">
      <c r="A40" s="30"/>
      <c r="B40" s="30"/>
      <c r="C40" s="33"/>
      <c r="D40" s="30"/>
      <c r="E40" s="37"/>
      <c r="F40" s="37"/>
      <c r="G40" s="157"/>
      <c r="H40" s="39"/>
      <c r="I40" s="37"/>
      <c r="J40" s="159"/>
      <c r="K40" s="31"/>
      <c r="L40" s="159"/>
      <c r="M40" s="30"/>
    </row>
    <row r="41" spans="1:13" ht="15"/>
    <row r="42" spans="1:13" ht="15"/>
    <row r="43" spans="1:13" ht="15"/>
    <row r="44" spans="1:13" ht="15"/>
    <row r="45" spans="1:13" ht="15"/>
    <row r="46" spans="1:13" ht="15"/>
    <row r="47" spans="1:13" ht="15"/>
    <row r="48" spans="1:13" ht="15"/>
  </sheetData>
  <mergeCells count="28">
    <mergeCell ref="E32:E35"/>
    <mergeCell ref="F32:F35"/>
    <mergeCell ref="J32:J35"/>
    <mergeCell ref="K32:K35"/>
    <mergeCell ref="E27:E30"/>
    <mergeCell ref="F27:F30"/>
    <mergeCell ref="J27:J30"/>
    <mergeCell ref="L29:L30"/>
    <mergeCell ref="E5:F5"/>
    <mergeCell ref="L23:L24"/>
    <mergeCell ref="K21:K24"/>
    <mergeCell ref="J21:J24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G5:H5"/>
    <mergeCell ref="I5:I6"/>
    <mergeCell ref="J5:J6"/>
  </mergeCells>
  <phoneticPr fontId="9" type="noConversion"/>
  <hyperlinks>
    <hyperlink ref="A1" location="'Objetos de Dominio'!A1" display="Volver al inicio" xr:uid="{7793871B-8D2D-4550-BA41-E48896CC9CCA}"/>
    <hyperlink ref="A1:N1" location="'Listado Objetos de Dominio'!A1" display="&lt;-Volver al inicio" xr:uid="{6279BCBE-C511-4973-B958-38EF65F95F29}"/>
    <hyperlink ref="D1" location="'Listado Objetos de Dominio'!A1" display="&lt;-Volver al inicio" xr:uid="{5CD8CF80-69E5-4B69-93B1-B9CC7258E026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0BEB-BB0A-4D7B-991A-C7A6112AAE54}">
  <sheetPr>
    <tabColor theme="5" tint="-0.499984740745262"/>
  </sheetPr>
  <dimension ref="A1:N39"/>
  <sheetViews>
    <sheetView topLeftCell="E17" zoomScaleNormal="100" workbookViewId="0">
      <selection activeCell="B21" sqref="B21"/>
    </sheetView>
  </sheetViews>
  <sheetFormatPr defaultColWidth="11.42578125" defaultRowHeight="14.45"/>
  <cols>
    <col min="1" max="1" width="23.85546875" style="1" bestFit="1" customWidth="1"/>
    <col min="2" max="2" width="16.7109375" style="1" customWidth="1"/>
    <col min="3" max="3" width="18.85546875" style="1" bestFit="1" customWidth="1"/>
    <col min="4" max="4" width="21.28515625" style="1" customWidth="1"/>
    <col min="5" max="5" width="20.42578125" style="1" customWidth="1"/>
    <col min="6" max="6" width="18.85546875" style="1" customWidth="1"/>
    <col min="7" max="7" width="19.7109375" style="1" customWidth="1"/>
    <col min="8" max="8" width="16.42578125" style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Dominio'!$A$7</f>
        <v>Detalle Bitacora Diaria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Dominio'!$B$7</f>
        <v>Objeto de dominio que representa a quien pertenece la bitacora,la informacion del vuelo,la matricula de la aeronave, la tripulacion y  que rango tienen,las horas de vuelo y su total.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15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52.5" customHeight="1">
      <c r="A7" s="187"/>
      <c r="B7" s="187"/>
      <c r="C7" s="187"/>
      <c r="D7" s="161"/>
      <c r="E7" s="59" t="s">
        <v>187</v>
      </c>
      <c r="F7" s="115" t="s">
        <v>188</v>
      </c>
      <c r="G7" s="248"/>
      <c r="H7" s="187"/>
      <c r="I7" s="187"/>
      <c r="J7" s="187"/>
      <c r="K7" s="187"/>
      <c r="L7" s="187" t="s">
        <v>189</v>
      </c>
      <c r="M7" s="161" t="s">
        <v>190</v>
      </c>
    </row>
    <row r="8" spans="1:14" ht="39.75" customHeight="1">
      <c r="A8" s="126"/>
      <c r="B8" s="245"/>
      <c r="C8" s="66"/>
      <c r="D8" s="139"/>
      <c r="E8" s="162" t="s">
        <v>191</v>
      </c>
      <c r="F8" s="247" t="s">
        <v>192</v>
      </c>
      <c r="G8" s="126"/>
      <c r="H8" s="66"/>
      <c r="I8" s="126"/>
      <c r="J8" s="126"/>
      <c r="K8" s="126"/>
      <c r="L8" s="204" t="s">
        <v>193</v>
      </c>
      <c r="M8" s="130" t="s">
        <v>194</v>
      </c>
    </row>
    <row r="9" spans="1:14" ht="143.25" customHeight="1">
      <c r="A9" s="256" t="s">
        <v>89</v>
      </c>
      <c r="B9" s="245" t="s">
        <v>195</v>
      </c>
      <c r="C9" s="246" t="s">
        <v>196</v>
      </c>
      <c r="D9" s="139" t="s">
        <v>197</v>
      </c>
      <c r="E9" s="142" t="s">
        <v>198</v>
      </c>
      <c r="F9" s="61" t="s">
        <v>199</v>
      </c>
      <c r="G9" s="66" t="s">
        <v>200</v>
      </c>
      <c r="H9" s="66" t="s">
        <v>94</v>
      </c>
      <c r="I9" s="126"/>
      <c r="J9" s="126" t="s">
        <v>201</v>
      </c>
      <c r="K9" s="126"/>
      <c r="L9" s="139" t="s">
        <v>202</v>
      </c>
      <c r="M9" s="133" t="s">
        <v>203</v>
      </c>
    </row>
    <row r="10" spans="1:14" ht="54.75" customHeight="1">
      <c r="A10" s="126"/>
      <c r="B10" s="258"/>
      <c r="C10" s="66"/>
      <c r="D10" s="139"/>
      <c r="E10" s="59" t="s">
        <v>204</v>
      </c>
      <c r="F10" s="115" t="s">
        <v>205</v>
      </c>
      <c r="G10" s="116"/>
      <c r="H10" s="116"/>
      <c r="I10" s="126"/>
      <c r="J10" s="70"/>
      <c r="K10" s="172"/>
      <c r="L10" s="139"/>
      <c r="M10" s="133"/>
    </row>
    <row r="11" spans="1:14" ht="81.75" customHeight="1">
      <c r="A11" s="259"/>
      <c r="B11" s="260"/>
      <c r="C11" s="243"/>
      <c r="D11" s="259"/>
      <c r="E11" s="70" t="s">
        <v>187</v>
      </c>
      <c r="F11" s="143" t="s">
        <v>206</v>
      </c>
      <c r="G11" s="144" t="s">
        <v>207</v>
      </c>
      <c r="H11" s="146" t="s">
        <v>208</v>
      </c>
      <c r="I11" s="187"/>
      <c r="J11" s="187"/>
      <c r="K11" s="187"/>
      <c r="L11" s="161"/>
      <c r="M11" s="108"/>
    </row>
    <row r="12" spans="1:14" ht="99" customHeight="1">
      <c r="A12" s="126" t="s">
        <v>89</v>
      </c>
      <c r="B12" s="65" t="s">
        <v>209</v>
      </c>
      <c r="C12" s="66" t="s">
        <v>210</v>
      </c>
      <c r="D12" s="126" t="s">
        <v>197</v>
      </c>
      <c r="E12" s="161" t="s">
        <v>191</v>
      </c>
      <c r="F12" s="247" t="s">
        <v>192</v>
      </c>
      <c r="G12" s="69" t="s">
        <v>211</v>
      </c>
      <c r="H12" s="146" t="s">
        <v>212</v>
      </c>
      <c r="I12" s="126"/>
      <c r="J12" s="126" t="s">
        <v>147</v>
      </c>
      <c r="K12" s="126"/>
      <c r="L12" s="139" t="s">
        <v>146</v>
      </c>
      <c r="M12" s="133" t="s">
        <v>150</v>
      </c>
    </row>
    <row r="13" spans="1:14" ht="108">
      <c r="A13" s="205"/>
      <c r="B13" s="261"/>
      <c r="C13" s="244"/>
      <c r="D13" s="205"/>
      <c r="E13" s="71" t="s">
        <v>198</v>
      </c>
      <c r="F13" s="61" t="s">
        <v>199</v>
      </c>
      <c r="G13" s="70" t="s">
        <v>213</v>
      </c>
      <c r="H13" s="206" t="s">
        <v>109</v>
      </c>
      <c r="I13" s="126"/>
      <c r="J13" s="126"/>
      <c r="K13" s="126"/>
      <c r="L13" s="139"/>
      <c r="M13" s="189" t="s">
        <v>160</v>
      </c>
    </row>
    <row r="14" spans="1:14" ht="64.5" customHeight="1">
      <c r="A14" s="188"/>
      <c r="B14" s="120"/>
      <c r="C14" s="116"/>
      <c r="D14" s="138"/>
      <c r="E14" s="68" t="s">
        <v>204</v>
      </c>
      <c r="F14" s="60" t="s">
        <v>205</v>
      </c>
      <c r="G14" s="60" t="s">
        <v>214</v>
      </c>
      <c r="H14" s="60" t="s">
        <v>215</v>
      </c>
      <c r="I14" s="126"/>
      <c r="J14" s="66"/>
      <c r="K14" s="126"/>
      <c r="L14" s="126"/>
      <c r="M14" s="161" t="s">
        <v>152</v>
      </c>
    </row>
    <row r="15" spans="1:14" ht="40.5">
      <c r="A15" s="205"/>
      <c r="B15" s="261"/>
      <c r="C15" s="244"/>
      <c r="D15" s="205"/>
      <c r="E15" s="60" t="s">
        <v>187</v>
      </c>
      <c r="F15" s="60" t="s">
        <v>188</v>
      </c>
      <c r="G15" s="60"/>
      <c r="H15" s="60"/>
      <c r="I15" s="187"/>
      <c r="J15" s="187"/>
      <c r="K15" s="187"/>
      <c r="L15" s="187" t="s">
        <v>216</v>
      </c>
      <c r="M15" s="161" t="s">
        <v>160</v>
      </c>
    </row>
    <row r="16" spans="1:14" ht="53.25">
      <c r="A16" s="205"/>
      <c r="B16" s="261"/>
      <c r="C16" s="244"/>
      <c r="D16" s="205"/>
      <c r="E16" s="187" t="s">
        <v>191</v>
      </c>
      <c r="F16" s="60" t="s">
        <v>192</v>
      </c>
      <c r="G16" s="66" t="s">
        <v>207</v>
      </c>
      <c r="H16" s="66" t="s">
        <v>208</v>
      </c>
      <c r="I16" s="126"/>
      <c r="J16" s="126"/>
      <c r="K16" s="126"/>
      <c r="L16" s="132"/>
      <c r="M16" s="99"/>
    </row>
    <row r="17" spans="1:13" ht="111.75" customHeight="1">
      <c r="A17" s="126" t="s">
        <v>89</v>
      </c>
      <c r="B17" s="65" t="s">
        <v>217</v>
      </c>
      <c r="C17" s="66" t="s">
        <v>218</v>
      </c>
      <c r="D17" s="126" t="s">
        <v>197</v>
      </c>
      <c r="E17" s="60" t="s">
        <v>198</v>
      </c>
      <c r="F17" s="60" t="s">
        <v>199</v>
      </c>
      <c r="G17" s="60" t="s">
        <v>211</v>
      </c>
      <c r="H17" s="60" t="s">
        <v>212</v>
      </c>
      <c r="I17" s="126"/>
      <c r="J17" s="66" t="s">
        <v>219</v>
      </c>
      <c r="K17" s="126"/>
      <c r="L17" s="161" t="s">
        <v>146</v>
      </c>
      <c r="M17" s="133" t="s">
        <v>152</v>
      </c>
    </row>
    <row r="18" spans="1:13" ht="108">
      <c r="A18" s="188"/>
      <c r="B18" s="120"/>
      <c r="C18" s="116"/>
      <c r="D18" s="188"/>
      <c r="E18" s="115" t="s">
        <v>204</v>
      </c>
      <c r="F18" s="115" t="s">
        <v>205</v>
      </c>
      <c r="G18" s="204" t="s">
        <v>213</v>
      </c>
      <c r="H18" s="262" t="s">
        <v>109</v>
      </c>
      <c r="I18" s="188"/>
      <c r="J18" s="188"/>
      <c r="K18" s="188"/>
      <c r="L18" s="138"/>
      <c r="M18" s="222"/>
    </row>
    <row r="19" spans="1:13" ht="60" customHeight="1">
      <c r="A19" s="126"/>
      <c r="B19" s="65"/>
      <c r="C19" s="66"/>
      <c r="D19" s="126"/>
      <c r="E19" s="116" t="s">
        <v>187</v>
      </c>
      <c r="F19" s="141" t="s">
        <v>188</v>
      </c>
      <c r="G19" s="133"/>
      <c r="H19" s="172"/>
      <c r="I19" s="126"/>
      <c r="J19" s="139"/>
      <c r="K19" s="191"/>
      <c r="L19" s="188" t="s">
        <v>146</v>
      </c>
      <c r="M19" s="139"/>
    </row>
    <row r="20" spans="1:13" ht="0.75" customHeight="1">
      <c r="A20" s="126"/>
      <c r="B20" s="65"/>
      <c r="C20" s="66"/>
      <c r="D20" s="126"/>
      <c r="E20" s="68" t="s">
        <v>187</v>
      </c>
      <c r="F20" s="68" t="s">
        <v>188</v>
      </c>
      <c r="G20" s="133"/>
      <c r="H20" s="68"/>
      <c r="I20" s="126"/>
      <c r="J20" s="139"/>
      <c r="K20" s="172"/>
      <c r="L20" s="126"/>
      <c r="M20" s="139"/>
    </row>
    <row r="21" spans="1:13" ht="113.25" customHeight="1">
      <c r="A21" s="126" t="s">
        <v>89</v>
      </c>
      <c r="B21" s="65" t="s">
        <v>220</v>
      </c>
      <c r="C21" s="66" t="s">
        <v>221</v>
      </c>
      <c r="D21" s="126" t="s">
        <v>197</v>
      </c>
      <c r="E21" s="187" t="s">
        <v>191</v>
      </c>
      <c r="F21" s="70" t="s">
        <v>192</v>
      </c>
      <c r="G21" s="144" t="s">
        <v>213</v>
      </c>
      <c r="H21" s="257" t="s">
        <v>109</v>
      </c>
      <c r="I21" s="126"/>
      <c r="J21" s="139" t="s">
        <v>151</v>
      </c>
      <c r="K21" s="172"/>
      <c r="L21" s="204" t="s">
        <v>147</v>
      </c>
      <c r="M21" s="139"/>
    </row>
    <row r="22" spans="1:13" ht="75" customHeight="1">
      <c r="A22" s="205"/>
      <c r="B22" s="65"/>
      <c r="C22" s="66"/>
      <c r="D22" s="126"/>
      <c r="E22" s="60" t="s">
        <v>198</v>
      </c>
      <c r="F22" s="70" t="s">
        <v>199</v>
      </c>
      <c r="G22" s="172" t="s">
        <v>222</v>
      </c>
      <c r="H22" s="70" t="s">
        <v>223</v>
      </c>
      <c r="I22" s="172"/>
      <c r="J22" s="139"/>
      <c r="K22" s="172"/>
      <c r="L22" s="126" t="s">
        <v>149</v>
      </c>
      <c r="M22" s="139" t="s">
        <v>160</v>
      </c>
    </row>
    <row r="23" spans="1:13" ht="74.25" customHeight="1">
      <c r="A23" s="207"/>
      <c r="B23" s="120"/>
      <c r="C23" s="116"/>
      <c r="D23" s="188"/>
      <c r="E23" s="115" t="s">
        <v>224</v>
      </c>
      <c r="F23" s="71" t="s">
        <v>205</v>
      </c>
      <c r="G23" s="228"/>
      <c r="H23" s="227"/>
      <c r="I23" s="191"/>
      <c r="J23" s="138"/>
      <c r="K23" s="191"/>
      <c r="L23" s="188"/>
      <c r="M23" s="138"/>
    </row>
    <row r="24" spans="1:13" ht="1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1:13" ht="15"/>
    <row r="27" spans="1:13" ht="15"/>
    <row r="28" spans="1:13" ht="15"/>
    <row r="29" spans="1:13" ht="15"/>
    <row r="30" spans="1:13" ht="15"/>
    <row r="31" spans="1:13" ht="15"/>
    <row r="32" spans="1:13" ht="15"/>
    <row r="33" ht="15"/>
    <row r="34" ht="15"/>
    <row r="35" ht="15"/>
    <row r="38" ht="15"/>
    <row r="39" ht="15"/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phoneticPr fontId="9" type="noConversion"/>
  <hyperlinks>
    <hyperlink ref="A1" location="'Objetos de Dominio'!A1" display="Volver al inicio" xr:uid="{5FB4EE1E-DB19-4C2A-85C8-5A96AEBF78D8}"/>
    <hyperlink ref="A1:N1" location="'Listado Objetos de Dominio'!A1" display="&lt;-Volver al inicio" xr:uid="{78F21ECE-C9C0-40F0-B7F0-C7BCC3715A5A}"/>
    <hyperlink ref="D1" location="'Listado Objetos de Dominio'!A1" display="&lt;-Volver al inicio" xr:uid="{2ED68142-1ECE-44A7-A2CA-CAC4E9ACD042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AAAC-C26F-49B5-9EFC-9026247F7E41}">
  <sheetPr>
    <tabColor theme="4"/>
  </sheetPr>
  <dimension ref="A1:N41"/>
  <sheetViews>
    <sheetView topLeftCell="E30" zoomScale="93" zoomScaleNormal="93" workbookViewId="0">
      <selection activeCell="H13" sqref="H13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9.1406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Dominio'!$A$8</f>
        <v>Empleado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Dominio'!$B$8</f>
        <v>objeto de dominio que representa el nombre y el codigo de la persona que trabaja en la aerolinea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27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35" t="s">
        <v>3</v>
      </c>
      <c r="G6" s="9" t="s">
        <v>88</v>
      </c>
      <c r="H6" s="11" t="s">
        <v>3</v>
      </c>
      <c r="I6" s="362"/>
      <c r="J6" s="364"/>
      <c r="K6" s="372"/>
      <c r="L6" s="368"/>
      <c r="M6" s="369"/>
    </row>
    <row r="7" spans="1:14" ht="140.25" customHeight="1">
      <c r="A7" s="164"/>
      <c r="B7" s="164"/>
      <c r="C7" s="164"/>
      <c r="D7" s="165"/>
      <c r="E7" s="70"/>
      <c r="F7" s="145"/>
      <c r="G7" s="55" t="s">
        <v>225</v>
      </c>
      <c r="H7" s="166" t="s">
        <v>109</v>
      </c>
      <c r="I7" s="161"/>
      <c r="J7" s="167"/>
      <c r="K7" s="161"/>
      <c r="L7" s="168"/>
      <c r="M7" s="169" t="s">
        <v>226</v>
      </c>
    </row>
    <row r="8" spans="1:14" ht="66" customHeight="1">
      <c r="A8" s="170" t="s">
        <v>89</v>
      </c>
      <c r="B8" s="306" t="s">
        <v>227</v>
      </c>
      <c r="C8" s="136" t="s">
        <v>228</v>
      </c>
      <c r="D8" s="171" t="s">
        <v>18</v>
      </c>
      <c r="E8" s="69"/>
      <c r="F8" s="142"/>
      <c r="G8" s="56" t="s">
        <v>229</v>
      </c>
      <c r="H8" s="57" t="s">
        <v>230</v>
      </c>
      <c r="I8" s="139"/>
      <c r="J8" s="172" t="s">
        <v>231</v>
      </c>
      <c r="K8" s="139"/>
      <c r="L8" s="173" t="s">
        <v>232</v>
      </c>
      <c r="M8" s="174" t="s">
        <v>233</v>
      </c>
    </row>
    <row r="9" spans="1:14" ht="77.25" customHeight="1">
      <c r="A9" s="170"/>
      <c r="B9" s="76"/>
      <c r="C9" s="136"/>
      <c r="D9" s="171"/>
      <c r="E9" s="69"/>
      <c r="F9" s="142"/>
      <c r="G9" s="56" t="s">
        <v>234</v>
      </c>
      <c r="H9" s="61" t="s">
        <v>235</v>
      </c>
      <c r="I9" s="139"/>
      <c r="J9" s="172"/>
      <c r="K9" s="139"/>
      <c r="L9" s="173"/>
      <c r="M9" s="174" t="s">
        <v>236</v>
      </c>
    </row>
    <row r="10" spans="1:14" ht="64.5" customHeight="1">
      <c r="A10" s="170"/>
      <c r="B10" s="76"/>
      <c r="C10" s="136"/>
      <c r="D10" s="171"/>
      <c r="E10" s="69"/>
      <c r="F10" s="142"/>
      <c r="G10" s="147" t="s">
        <v>237</v>
      </c>
      <c r="H10" s="59" t="s">
        <v>238</v>
      </c>
      <c r="I10" s="139"/>
      <c r="J10" s="172"/>
      <c r="K10" s="139"/>
      <c r="L10" s="173"/>
      <c r="M10" s="174" t="s">
        <v>239</v>
      </c>
    </row>
    <row r="11" spans="1:14" ht="48" customHeight="1">
      <c r="A11" s="175"/>
      <c r="B11" s="77"/>
      <c r="C11" s="176"/>
      <c r="D11" s="171"/>
      <c r="E11" s="138"/>
      <c r="F11" s="144"/>
      <c r="G11" s="173"/>
      <c r="H11" s="172"/>
      <c r="I11" s="139"/>
      <c r="J11" s="177"/>
      <c r="K11" s="138"/>
      <c r="L11" s="173"/>
      <c r="M11" s="174" t="s">
        <v>240</v>
      </c>
    </row>
    <row r="12" spans="1:14" ht="42.75" customHeight="1">
      <c r="A12" s="164"/>
      <c r="B12" s="164"/>
      <c r="C12" s="164"/>
      <c r="D12" s="164"/>
      <c r="E12" s="170"/>
      <c r="F12" s="171"/>
      <c r="G12" s="70"/>
      <c r="H12" s="178"/>
      <c r="I12" s="161"/>
      <c r="J12" s="173"/>
      <c r="K12" s="173"/>
      <c r="L12" s="168" t="s">
        <v>231</v>
      </c>
      <c r="M12" s="64" t="s">
        <v>241</v>
      </c>
    </row>
    <row r="13" spans="1:14" ht="142.5" customHeight="1">
      <c r="A13" s="170" t="s">
        <v>89</v>
      </c>
      <c r="B13" s="76" t="s">
        <v>242</v>
      </c>
      <c r="C13" s="136" t="s">
        <v>243</v>
      </c>
      <c r="D13" s="170" t="s">
        <v>18</v>
      </c>
      <c r="E13" s="170"/>
      <c r="F13" s="171"/>
      <c r="G13" s="163" t="s">
        <v>244</v>
      </c>
      <c r="H13" s="179" t="s">
        <v>94</v>
      </c>
      <c r="I13" s="139"/>
      <c r="J13" s="180" t="s">
        <v>245</v>
      </c>
      <c r="K13" s="172"/>
      <c r="L13" s="130" t="s">
        <v>246</v>
      </c>
      <c r="M13" s="181" t="s">
        <v>233</v>
      </c>
    </row>
    <row r="14" spans="1:14" ht="43.5" customHeight="1">
      <c r="A14" s="170"/>
      <c r="B14" s="76"/>
      <c r="C14" s="136"/>
      <c r="D14" s="170"/>
      <c r="E14" s="170"/>
      <c r="F14" s="171"/>
      <c r="G14" s="69"/>
      <c r="H14" s="68"/>
      <c r="I14" s="139"/>
      <c r="J14" s="180"/>
      <c r="K14" s="173"/>
      <c r="L14" s="173" t="s">
        <v>247</v>
      </c>
      <c r="M14" s="174" t="s">
        <v>236</v>
      </c>
    </row>
    <row r="15" spans="1:14" ht="39" customHeight="1">
      <c r="A15" s="170"/>
      <c r="B15" s="76"/>
      <c r="C15" s="136"/>
      <c r="D15" s="170"/>
      <c r="E15" s="170"/>
      <c r="F15" s="171"/>
      <c r="G15" s="69"/>
      <c r="H15" s="68"/>
      <c r="I15" s="139"/>
      <c r="J15" s="180"/>
      <c r="K15" s="172"/>
      <c r="L15" s="130" t="s">
        <v>248</v>
      </c>
      <c r="M15" s="125" t="s">
        <v>239</v>
      </c>
    </row>
    <row r="16" spans="1:14" ht="39" customHeight="1">
      <c r="A16" s="170"/>
      <c r="B16" s="76"/>
      <c r="C16" s="136"/>
      <c r="D16" s="170"/>
      <c r="E16" s="170"/>
      <c r="F16" s="171"/>
      <c r="G16" s="141"/>
      <c r="H16" s="182"/>
      <c r="I16" s="138"/>
      <c r="J16" s="180"/>
      <c r="K16" s="173"/>
      <c r="L16" s="183" t="s">
        <v>249</v>
      </c>
      <c r="M16" s="148" t="s">
        <v>240</v>
      </c>
    </row>
    <row r="17" spans="1:13" ht="210.75" customHeight="1">
      <c r="A17" s="161" t="s">
        <v>89</v>
      </c>
      <c r="B17" s="151" t="s">
        <v>250</v>
      </c>
      <c r="C17" s="70" t="s">
        <v>251</v>
      </c>
      <c r="D17" s="189" t="s">
        <v>18</v>
      </c>
      <c r="E17" s="168"/>
      <c r="F17" s="165"/>
      <c r="G17" s="66" t="s">
        <v>225</v>
      </c>
      <c r="H17" s="184" t="s">
        <v>109</v>
      </c>
      <c r="I17" s="126"/>
      <c r="J17" s="70" t="s">
        <v>252</v>
      </c>
      <c r="K17" s="168"/>
      <c r="L17" s="173" t="s">
        <v>231</v>
      </c>
      <c r="M17" s="174" t="s">
        <v>226</v>
      </c>
    </row>
    <row r="18" spans="1:13" ht="17.25" customHeight="1">
      <c r="A18" s="185"/>
      <c r="B18" s="5"/>
      <c r="C18" s="185"/>
      <c r="D18" s="198"/>
      <c r="E18" s="173"/>
      <c r="F18" s="171"/>
      <c r="G18" s="66"/>
      <c r="H18" s="66"/>
      <c r="I18" s="126"/>
      <c r="J18" s="185"/>
      <c r="K18" s="172"/>
      <c r="L18" s="130" t="s">
        <v>232</v>
      </c>
      <c r="M18" s="181" t="s">
        <v>236</v>
      </c>
    </row>
    <row r="19" spans="1:13" ht="15.75" customHeight="1">
      <c r="A19" s="139"/>
      <c r="B19" s="124"/>
      <c r="C19" s="69"/>
      <c r="D19" s="133"/>
      <c r="E19" s="173"/>
      <c r="F19" s="171"/>
      <c r="G19" s="66"/>
      <c r="H19" s="66"/>
      <c r="I19" s="126"/>
      <c r="J19" s="69"/>
      <c r="K19" s="172"/>
      <c r="L19" s="136" t="s">
        <v>248</v>
      </c>
      <c r="M19" s="64" t="s">
        <v>239</v>
      </c>
    </row>
    <row r="20" spans="1:13" ht="19.5" customHeight="1">
      <c r="A20" s="138"/>
      <c r="B20" s="124"/>
      <c r="C20" s="141"/>
      <c r="D20" s="133"/>
      <c r="E20" s="173"/>
      <c r="F20" s="171"/>
      <c r="G20" s="66"/>
      <c r="H20" s="66"/>
      <c r="I20" s="126"/>
      <c r="J20" s="138"/>
      <c r="K20" s="172"/>
      <c r="L20" s="130" t="s">
        <v>247</v>
      </c>
      <c r="M20" s="264" t="s">
        <v>240</v>
      </c>
    </row>
    <row r="21" spans="1:13" ht="165" customHeight="1">
      <c r="A21" s="126" t="s">
        <v>89</v>
      </c>
      <c r="B21" s="149" t="s">
        <v>253</v>
      </c>
      <c r="C21" s="38" t="s">
        <v>254</v>
      </c>
      <c r="D21" s="161" t="s">
        <v>18</v>
      </c>
      <c r="E21" s="168"/>
      <c r="F21" s="165"/>
      <c r="G21" s="60" t="s">
        <v>225</v>
      </c>
      <c r="H21" s="184" t="s">
        <v>109</v>
      </c>
      <c r="I21" s="187"/>
      <c r="J21" s="139" t="s">
        <v>255</v>
      </c>
      <c r="K21" s="189"/>
      <c r="L21" s="133" t="s">
        <v>232</v>
      </c>
      <c r="M21" s="190" t="s">
        <v>226</v>
      </c>
    </row>
    <row r="22" spans="1:13" ht="30.75" customHeight="1">
      <c r="A22" s="186"/>
      <c r="B22" s="185"/>
      <c r="C22" s="5"/>
      <c r="D22" s="185"/>
      <c r="E22" s="173"/>
      <c r="F22" s="171"/>
      <c r="G22" s="66"/>
      <c r="H22" s="66"/>
      <c r="I22" s="126"/>
      <c r="J22" s="185"/>
      <c r="K22" s="172"/>
      <c r="L22" s="71" t="s">
        <v>252</v>
      </c>
      <c r="M22" s="181" t="s">
        <v>233</v>
      </c>
    </row>
    <row r="23" spans="1:13" ht="29.1" customHeight="1">
      <c r="A23" s="126"/>
      <c r="B23" s="64"/>
      <c r="C23" s="68"/>
      <c r="D23" s="139"/>
      <c r="E23" s="173"/>
      <c r="F23" s="171"/>
      <c r="G23" s="66"/>
      <c r="H23" s="66"/>
      <c r="I23" s="126"/>
      <c r="J23" s="139"/>
      <c r="K23" s="172"/>
      <c r="L23" s="69" t="s">
        <v>248</v>
      </c>
      <c r="M23" s="152" t="s">
        <v>239</v>
      </c>
    </row>
    <row r="24" spans="1:13" ht="40.5" customHeight="1">
      <c r="A24" s="188"/>
      <c r="B24" s="153"/>
      <c r="C24" s="146"/>
      <c r="D24" s="138"/>
      <c r="E24" s="173"/>
      <c r="F24" s="171"/>
      <c r="G24" s="116"/>
      <c r="H24" s="116"/>
      <c r="I24" s="188"/>
      <c r="J24" s="105"/>
      <c r="K24" s="191"/>
      <c r="L24" s="104"/>
      <c r="M24" s="148" t="s">
        <v>240</v>
      </c>
    </row>
    <row r="25" spans="1:13" ht="123" customHeight="1">
      <c r="A25" s="126" t="s">
        <v>89</v>
      </c>
      <c r="B25" s="65" t="s">
        <v>256</v>
      </c>
      <c r="C25" s="69" t="s">
        <v>257</v>
      </c>
      <c r="D25" s="172" t="s">
        <v>18</v>
      </c>
      <c r="E25" s="192"/>
      <c r="F25" s="167"/>
      <c r="G25" s="69" t="s">
        <v>225</v>
      </c>
      <c r="H25" s="68" t="s">
        <v>109</v>
      </c>
      <c r="I25" s="126"/>
      <c r="J25" s="69" t="s">
        <v>248</v>
      </c>
      <c r="K25" s="173"/>
      <c r="L25" s="183" t="s">
        <v>231</v>
      </c>
      <c r="M25" s="193" t="s">
        <v>226</v>
      </c>
    </row>
    <row r="26" spans="1:13" ht="23.25" customHeight="1">
      <c r="A26" s="186"/>
      <c r="B26" s="186"/>
      <c r="C26" s="185"/>
      <c r="D26" s="5"/>
      <c r="E26" s="194"/>
      <c r="F26" s="172"/>
      <c r="G26" s="69"/>
      <c r="H26" s="68"/>
      <c r="I26" s="126"/>
      <c r="J26" s="185"/>
      <c r="K26" s="173"/>
      <c r="L26" s="195" t="s">
        <v>258</v>
      </c>
      <c r="M26" s="174" t="s">
        <v>233</v>
      </c>
    </row>
    <row r="27" spans="1:13" ht="30" customHeight="1">
      <c r="A27" s="126"/>
      <c r="B27" s="65"/>
      <c r="C27" s="69"/>
      <c r="D27" s="172"/>
      <c r="E27" s="194"/>
      <c r="F27" s="172"/>
      <c r="G27" s="69"/>
      <c r="H27" s="68"/>
      <c r="I27" s="126"/>
      <c r="J27" s="69"/>
      <c r="K27" s="173"/>
      <c r="L27" s="55" t="s">
        <v>252</v>
      </c>
      <c r="M27" s="174" t="s">
        <v>236</v>
      </c>
    </row>
    <row r="28" spans="1:13" ht="30" customHeight="1">
      <c r="A28" s="126"/>
      <c r="B28" s="65"/>
      <c r="C28" s="69"/>
      <c r="D28" s="172"/>
      <c r="E28" s="196"/>
      <c r="F28" s="172"/>
      <c r="G28" s="141"/>
      <c r="H28" s="146"/>
      <c r="I28" s="188"/>
      <c r="J28" s="141"/>
      <c r="K28" s="183"/>
      <c r="L28" s="195" t="s">
        <v>259</v>
      </c>
      <c r="M28" s="197" t="s">
        <v>240</v>
      </c>
    </row>
    <row r="29" spans="1:13" ht="50.25" customHeight="1">
      <c r="A29" s="187" t="s">
        <v>89</v>
      </c>
      <c r="B29" s="328" t="s">
        <v>260</v>
      </c>
      <c r="C29" s="145" t="s">
        <v>261</v>
      </c>
      <c r="D29" s="189" t="s">
        <v>18</v>
      </c>
      <c r="E29" s="172"/>
      <c r="F29" s="161"/>
      <c r="G29" s="142" t="s">
        <v>262</v>
      </c>
      <c r="H29" s="69" t="s">
        <v>263</v>
      </c>
      <c r="I29" s="170"/>
      <c r="J29" s="170" t="s">
        <v>264</v>
      </c>
      <c r="K29" s="170"/>
      <c r="L29" s="195" t="s">
        <v>231</v>
      </c>
      <c r="M29" s="197"/>
    </row>
    <row r="30" spans="1:13" ht="152.25" customHeight="1">
      <c r="A30" s="186"/>
      <c r="B30" s="158"/>
      <c r="C30" s="198"/>
      <c r="D30" s="198"/>
      <c r="E30" s="172"/>
      <c r="F30" s="69"/>
      <c r="G30" s="156" t="s">
        <v>225</v>
      </c>
      <c r="H30" s="199" t="s">
        <v>109</v>
      </c>
      <c r="I30" s="173"/>
      <c r="J30" s="5"/>
      <c r="K30" s="170"/>
      <c r="L30" s="195" t="s">
        <v>258</v>
      </c>
      <c r="M30" s="139" t="s">
        <v>226</v>
      </c>
    </row>
    <row r="31" spans="1:13" ht="27.75" customHeight="1">
      <c r="A31" s="126"/>
      <c r="B31" s="139"/>
      <c r="C31" s="133"/>
      <c r="D31" s="133"/>
      <c r="E31" s="172"/>
      <c r="F31" s="69"/>
      <c r="G31" s="200"/>
      <c r="H31" s="142"/>
      <c r="I31" s="173"/>
      <c r="J31" s="172"/>
      <c r="K31" s="170"/>
      <c r="L31" s="68" t="s">
        <v>252</v>
      </c>
      <c r="M31" s="161" t="s">
        <v>241</v>
      </c>
    </row>
    <row r="32" spans="1:13" ht="17.25" customHeight="1">
      <c r="A32" s="126"/>
      <c r="B32" s="139"/>
      <c r="C32" s="133"/>
      <c r="D32" s="133"/>
      <c r="E32" s="172"/>
      <c r="F32" s="139"/>
      <c r="G32" s="200"/>
      <c r="H32" s="133"/>
      <c r="I32" s="173"/>
      <c r="J32" s="170"/>
      <c r="K32" s="170"/>
      <c r="L32" s="167" t="s">
        <v>259</v>
      </c>
      <c r="M32" s="139"/>
    </row>
    <row r="33" spans="1:13" ht="20.25" customHeight="1">
      <c r="A33" s="188"/>
      <c r="B33" s="138"/>
      <c r="C33" s="144"/>
      <c r="D33" s="144"/>
      <c r="E33" s="177"/>
      <c r="F33" s="138"/>
      <c r="G33" s="202"/>
      <c r="H33" s="144"/>
      <c r="I33" s="183"/>
      <c r="J33" s="175"/>
      <c r="K33" s="229"/>
      <c r="L33" s="71" t="s">
        <v>265</v>
      </c>
      <c r="M33" s="144"/>
    </row>
    <row r="34" spans="1:13" ht="43.5">
      <c r="A34" s="187" t="s">
        <v>89</v>
      </c>
      <c r="B34" s="329" t="s">
        <v>266</v>
      </c>
      <c r="C34" s="145" t="s">
        <v>267</v>
      </c>
      <c r="D34" s="189" t="s">
        <v>18</v>
      </c>
      <c r="E34" s="172"/>
      <c r="F34" s="161"/>
      <c r="G34" s="142" t="s">
        <v>262</v>
      </c>
      <c r="H34" s="69" t="s">
        <v>263</v>
      </c>
      <c r="I34" s="170"/>
      <c r="J34" s="170" t="s">
        <v>264</v>
      </c>
      <c r="K34" s="170"/>
      <c r="L34" s="183" t="s">
        <v>231</v>
      </c>
      <c r="M34" s="197"/>
    </row>
    <row r="35" spans="1:13" ht="115.5" customHeight="1">
      <c r="A35" s="186"/>
      <c r="B35" s="158"/>
      <c r="C35" s="198"/>
      <c r="D35" s="198"/>
      <c r="E35" s="172"/>
      <c r="F35" s="69"/>
      <c r="G35" s="156" t="s">
        <v>225</v>
      </c>
      <c r="H35" s="199" t="s">
        <v>109</v>
      </c>
      <c r="I35" s="173"/>
      <c r="J35" s="5"/>
      <c r="K35" s="170"/>
      <c r="L35" s="195" t="s">
        <v>258</v>
      </c>
      <c r="M35" s="139" t="s">
        <v>226</v>
      </c>
    </row>
    <row r="36" spans="1:13" ht="18" customHeight="1">
      <c r="A36" s="126"/>
      <c r="B36" s="139"/>
      <c r="C36" s="133"/>
      <c r="D36" s="133"/>
      <c r="E36" s="172"/>
      <c r="F36" s="69"/>
      <c r="G36" s="200"/>
      <c r="H36" s="142"/>
      <c r="I36" s="173"/>
      <c r="J36" s="172"/>
      <c r="K36" s="170"/>
      <c r="L36" s="68" t="s">
        <v>252</v>
      </c>
      <c r="M36" s="161" t="s">
        <v>241</v>
      </c>
    </row>
    <row r="37" spans="1:13" ht="18" customHeight="1">
      <c r="A37" s="126"/>
      <c r="B37" s="139"/>
      <c r="C37" s="133"/>
      <c r="D37" s="133"/>
      <c r="E37" s="172"/>
      <c r="F37" s="139"/>
      <c r="G37" s="200"/>
      <c r="H37" s="133"/>
      <c r="I37" s="173"/>
      <c r="J37" s="170"/>
      <c r="K37" s="170"/>
      <c r="L37" s="201" t="s">
        <v>259</v>
      </c>
      <c r="M37" s="139"/>
    </row>
    <row r="38" spans="1:13" ht="20.25" customHeight="1">
      <c r="A38" s="188"/>
      <c r="B38" s="138"/>
      <c r="C38" s="144"/>
      <c r="D38" s="144"/>
      <c r="E38" s="177"/>
      <c r="F38" s="138"/>
      <c r="G38" s="202"/>
      <c r="H38" s="144"/>
      <c r="I38" s="183"/>
      <c r="J38" s="175"/>
      <c r="K38" s="175"/>
      <c r="L38" s="203" t="s">
        <v>265</v>
      </c>
      <c r="M38" s="138"/>
    </row>
    <row r="39" spans="1:13" ht="15"/>
    <row r="40" spans="1:13" ht="15"/>
    <row r="41" spans="1:13" ht="15"/>
  </sheetData>
  <mergeCells count="17">
    <mergeCell ref="G5:H5"/>
    <mergeCell ref="D5:D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I5:I6"/>
    <mergeCell ref="E5:F5"/>
  </mergeCells>
  <phoneticPr fontId="9" type="noConversion"/>
  <hyperlinks>
    <hyperlink ref="A1" location="'Objetos de Dominio'!A1" display="Volver al inicio" xr:uid="{FE511432-15DF-4186-98E9-E2D06516C087}"/>
    <hyperlink ref="A1:N1" location="'Listado Objetos de Dominio'!A1" display="&lt;-Volver al inicio" xr:uid="{2167A0E4-8786-48BA-8A0A-9D52CB095F94}"/>
    <hyperlink ref="D1" location="'Listado Objetos de Dominio'!A1" display="&lt;-Volver al inicio" xr:uid="{09F4EE7F-9C7E-4927-BB18-9651BF2910B1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B3A-B789-44B8-A07A-82775B1871C0}">
  <sheetPr>
    <tabColor rgb="FFFDD3DD"/>
  </sheetPr>
  <dimension ref="A1:R27"/>
  <sheetViews>
    <sheetView zoomScale="106" zoomScaleNormal="106" workbookViewId="0">
      <selection activeCell="B22" sqref="B22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6.140625" style="1" customWidth="1"/>
    <col min="8" max="8" width="20.5703125" style="1" customWidth="1"/>
    <col min="9" max="9" width="15.28515625" style="1" customWidth="1"/>
    <col min="10" max="10" width="31.140625" style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Dominio'!$A$9</f>
        <v>Empleado Aerolinea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Dominio'!$B$9</f>
        <v>objeto de dominio que representa el nombre y la fecha de inicio y salida y vigencia  de ese empleado en la aerolinea asignada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24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14" t="s">
        <v>3</v>
      </c>
      <c r="G6" s="49" t="s">
        <v>88</v>
      </c>
      <c r="H6" s="54" t="s">
        <v>3</v>
      </c>
      <c r="I6" s="362"/>
      <c r="J6" s="364"/>
      <c r="K6" s="371"/>
      <c r="L6" s="368"/>
      <c r="M6" s="370"/>
    </row>
    <row r="7" spans="1:14" ht="126" customHeight="1">
      <c r="A7" s="187" t="s">
        <v>89</v>
      </c>
      <c r="B7" s="263" t="s">
        <v>268</v>
      </c>
      <c r="C7" s="122" t="s">
        <v>269</v>
      </c>
      <c r="D7" s="37" t="s">
        <v>270</v>
      </c>
      <c r="E7" s="122" t="s">
        <v>271</v>
      </c>
      <c r="F7" s="38" t="s">
        <v>272</v>
      </c>
      <c r="G7" s="70" t="s">
        <v>273</v>
      </c>
      <c r="H7" s="45" t="s">
        <v>94</v>
      </c>
      <c r="I7" s="47"/>
      <c r="J7" s="38" t="s">
        <v>274</v>
      </c>
      <c r="K7" s="62"/>
      <c r="L7" s="62" t="s">
        <v>275</v>
      </c>
      <c r="M7" s="43" t="s">
        <v>276</v>
      </c>
    </row>
    <row r="8" spans="1:14" ht="45.75">
      <c r="A8" s="42"/>
      <c r="B8" s="65"/>
      <c r="C8" s="58"/>
      <c r="D8" s="37"/>
      <c r="E8" s="123" t="s">
        <v>277</v>
      </c>
      <c r="F8" s="123" t="s">
        <v>278</v>
      </c>
      <c r="G8" s="44"/>
      <c r="H8" s="48"/>
      <c r="I8" s="48"/>
      <c r="J8" s="37"/>
      <c r="K8" s="42"/>
      <c r="L8" s="62" t="s">
        <v>279</v>
      </c>
      <c r="M8" s="43" t="s">
        <v>280</v>
      </c>
    </row>
    <row r="9" spans="1:14" ht="22.5" customHeight="1">
      <c r="A9" s="42"/>
      <c r="B9" s="65"/>
      <c r="C9" s="58"/>
      <c r="D9" s="37"/>
      <c r="E9" s="46"/>
      <c r="F9" s="46"/>
      <c r="G9" s="44"/>
      <c r="H9" s="48"/>
      <c r="I9" s="48"/>
      <c r="J9" s="37"/>
      <c r="K9" s="42"/>
      <c r="L9" s="62" t="s">
        <v>281</v>
      </c>
      <c r="M9" s="43" t="s">
        <v>282</v>
      </c>
    </row>
    <row r="10" spans="1:14" ht="18.75" customHeight="1">
      <c r="A10" s="42"/>
      <c r="B10" s="65"/>
      <c r="C10" s="58"/>
      <c r="D10" s="37"/>
      <c r="E10" s="121"/>
      <c r="F10" s="121"/>
      <c r="G10" s="44"/>
      <c r="H10" s="48"/>
      <c r="I10" s="48"/>
      <c r="J10" s="37"/>
      <c r="K10" s="42"/>
      <c r="L10" s="43" t="s">
        <v>283</v>
      </c>
      <c r="M10" s="47" t="s">
        <v>284</v>
      </c>
    </row>
    <row r="11" spans="1:14" ht="117.75" customHeight="1">
      <c r="A11" s="161" t="s">
        <v>89</v>
      </c>
      <c r="B11" s="344" t="s">
        <v>285</v>
      </c>
      <c r="C11" s="149" t="s">
        <v>286</v>
      </c>
      <c r="D11" s="63" t="s">
        <v>270</v>
      </c>
      <c r="E11" s="58" t="s">
        <v>271</v>
      </c>
      <c r="F11" s="38" t="s">
        <v>272</v>
      </c>
      <c r="G11" s="60" t="s">
        <v>287</v>
      </c>
      <c r="H11" s="70" t="s">
        <v>109</v>
      </c>
      <c r="I11" s="63"/>
      <c r="J11" s="62" t="s">
        <v>288</v>
      </c>
      <c r="K11" s="43"/>
      <c r="L11" s="47" t="s">
        <v>289</v>
      </c>
      <c r="M11" s="67" t="s">
        <v>290</v>
      </c>
    </row>
    <row r="12" spans="1:14" ht="54" customHeight="1">
      <c r="A12" s="139"/>
      <c r="B12" s="345"/>
      <c r="C12" s="58"/>
      <c r="D12" s="37"/>
      <c r="E12" s="123" t="s">
        <v>277</v>
      </c>
      <c r="F12" s="123" t="s">
        <v>278</v>
      </c>
      <c r="G12" s="70" t="s">
        <v>291</v>
      </c>
      <c r="H12" s="145" t="s">
        <v>292</v>
      </c>
      <c r="I12" s="37"/>
      <c r="J12" s="42"/>
      <c r="K12" s="42"/>
      <c r="L12" s="78" t="s">
        <v>275</v>
      </c>
      <c r="M12" s="43" t="s">
        <v>282</v>
      </c>
    </row>
    <row r="13" spans="1:14" ht="22.5" customHeight="1">
      <c r="A13" s="139"/>
      <c r="B13" s="345"/>
      <c r="C13" s="58"/>
      <c r="D13" s="37"/>
      <c r="E13" s="42"/>
      <c r="F13" s="42"/>
      <c r="G13" s="44"/>
      <c r="H13" s="48"/>
      <c r="I13" s="37"/>
      <c r="J13" s="42"/>
      <c r="K13" s="44"/>
      <c r="L13" s="42" t="s">
        <v>281</v>
      </c>
      <c r="M13" s="43" t="s">
        <v>284</v>
      </c>
    </row>
    <row r="14" spans="1:14" ht="24" customHeight="1">
      <c r="A14" s="138"/>
      <c r="B14" s="345"/>
      <c r="C14" s="58"/>
      <c r="D14" s="37"/>
      <c r="E14" s="42"/>
      <c r="F14" s="42"/>
      <c r="G14" s="44"/>
      <c r="H14" s="48"/>
      <c r="I14" s="37"/>
      <c r="J14" s="42"/>
      <c r="K14" s="44"/>
      <c r="L14" s="62" t="s">
        <v>283</v>
      </c>
      <c r="M14" s="44"/>
    </row>
    <row r="15" spans="1:14" ht="91.5">
      <c r="A15" s="126" t="s">
        <v>89</v>
      </c>
      <c r="B15" s="263" t="s">
        <v>293</v>
      </c>
      <c r="C15" s="123" t="s">
        <v>294</v>
      </c>
      <c r="D15" s="62" t="s">
        <v>270</v>
      </c>
      <c r="E15" s="110" t="s">
        <v>271</v>
      </c>
      <c r="F15" s="123" t="s">
        <v>272</v>
      </c>
      <c r="G15" s="60" t="s">
        <v>295</v>
      </c>
      <c r="H15" s="60" t="s">
        <v>296</v>
      </c>
      <c r="I15" s="62"/>
      <c r="J15" s="62" t="s">
        <v>297</v>
      </c>
      <c r="K15" s="43"/>
      <c r="L15" s="47" t="s">
        <v>289</v>
      </c>
      <c r="M15" s="47" t="s">
        <v>290</v>
      </c>
    </row>
    <row r="16" spans="1:14" ht="89.25" customHeight="1">
      <c r="A16" s="42"/>
      <c r="B16" s="65"/>
      <c r="C16" s="46"/>
      <c r="D16" s="42"/>
      <c r="E16" s="46" t="s">
        <v>277</v>
      </c>
      <c r="F16" s="122" t="s">
        <v>278</v>
      </c>
      <c r="G16" s="59" t="s">
        <v>287</v>
      </c>
      <c r="H16" s="60" t="s">
        <v>109</v>
      </c>
      <c r="I16" s="42"/>
      <c r="J16" s="42"/>
      <c r="K16" s="44"/>
      <c r="L16" s="48"/>
      <c r="M16" s="67" t="s">
        <v>280</v>
      </c>
    </row>
    <row r="17" spans="1:18" ht="56.25" customHeight="1">
      <c r="A17" s="42"/>
      <c r="B17" s="42"/>
      <c r="C17" s="42"/>
      <c r="D17" s="42"/>
      <c r="E17" s="42"/>
      <c r="F17" s="44"/>
      <c r="G17" s="59" t="s">
        <v>298</v>
      </c>
      <c r="H17" s="60" t="s">
        <v>299</v>
      </c>
      <c r="I17" s="42"/>
      <c r="J17" s="42"/>
      <c r="K17" s="44"/>
      <c r="L17" s="48"/>
      <c r="M17" s="73" t="s">
        <v>282</v>
      </c>
    </row>
    <row r="18" spans="1:18" ht="20.25" customHeight="1">
      <c r="A18" s="75"/>
      <c r="B18" s="75"/>
      <c r="C18" s="75"/>
      <c r="D18" s="75"/>
      <c r="E18" s="75"/>
      <c r="F18" s="72"/>
      <c r="G18" s="146"/>
      <c r="H18" s="116"/>
      <c r="I18" s="75"/>
      <c r="J18" s="75"/>
      <c r="K18" s="72"/>
      <c r="L18" s="73"/>
      <c r="M18" s="48" t="s">
        <v>284</v>
      </c>
    </row>
    <row r="19" spans="1:18" ht="91.5">
      <c r="A19" s="44" t="s">
        <v>89</v>
      </c>
      <c r="B19" s="124" t="s">
        <v>300</v>
      </c>
      <c r="C19" s="58" t="s">
        <v>301</v>
      </c>
      <c r="D19" s="32" t="s">
        <v>270</v>
      </c>
      <c r="E19" s="36" t="s">
        <v>271</v>
      </c>
      <c r="F19" s="155" t="s">
        <v>272</v>
      </c>
      <c r="G19" s="66" t="s">
        <v>302</v>
      </c>
      <c r="H19" s="69" t="s">
        <v>303</v>
      </c>
      <c r="I19" s="37"/>
      <c r="J19" s="44" t="s">
        <v>304</v>
      </c>
      <c r="K19" s="37"/>
      <c r="L19" s="42" t="s">
        <v>289</v>
      </c>
      <c r="M19" s="43" t="s">
        <v>290</v>
      </c>
    </row>
    <row r="20" spans="1:18" ht="99" customHeight="1">
      <c r="A20" s="44"/>
      <c r="B20" s="124"/>
      <c r="C20" s="58"/>
      <c r="D20" s="37"/>
      <c r="E20" s="230" t="s">
        <v>277</v>
      </c>
      <c r="F20" s="123" t="s">
        <v>278</v>
      </c>
      <c r="G20" s="70" t="s">
        <v>287</v>
      </c>
      <c r="H20" s="145" t="s">
        <v>109</v>
      </c>
      <c r="I20" s="37"/>
      <c r="J20" s="44"/>
      <c r="K20" s="37"/>
      <c r="L20" s="111" t="s">
        <v>279</v>
      </c>
      <c r="M20" s="78" t="s">
        <v>280</v>
      </c>
      <c r="N20" s="1" t="s">
        <v>305</v>
      </c>
      <c r="O20" s="1" t="s">
        <v>305</v>
      </c>
      <c r="P20" s="1" t="s">
        <v>305</v>
      </c>
      <c r="Q20" s="1" t="s">
        <v>306</v>
      </c>
      <c r="R20" s="1" t="s">
        <v>305</v>
      </c>
    </row>
    <row r="21" spans="1:18" ht="21" customHeight="1">
      <c r="A21" s="44"/>
      <c r="B21" s="74"/>
      <c r="C21" s="72"/>
      <c r="D21" s="74"/>
      <c r="E21" s="72"/>
      <c r="F21" s="74"/>
      <c r="G21" s="141"/>
      <c r="H21" s="143"/>
      <c r="I21" s="74"/>
      <c r="J21" s="72"/>
      <c r="K21" s="74"/>
      <c r="L21" s="72" t="s">
        <v>231</v>
      </c>
      <c r="M21" s="48" t="s">
        <v>284</v>
      </c>
    </row>
    <row r="22" spans="1:18" ht="91.5">
      <c r="A22" s="43" t="s">
        <v>89</v>
      </c>
      <c r="B22" s="151" t="s">
        <v>307</v>
      </c>
      <c r="C22" s="122" t="s">
        <v>308</v>
      </c>
      <c r="D22" s="231" t="s">
        <v>270</v>
      </c>
      <c r="E22" s="232" t="s">
        <v>271</v>
      </c>
      <c r="F22" s="233" t="s">
        <v>272</v>
      </c>
      <c r="G22" s="60" t="s">
        <v>309</v>
      </c>
      <c r="H22" s="70" t="s">
        <v>310</v>
      </c>
      <c r="I22" s="63"/>
      <c r="J22" s="43" t="s">
        <v>311</v>
      </c>
      <c r="K22" s="63"/>
      <c r="L22" s="62" t="s">
        <v>289</v>
      </c>
      <c r="M22" s="43" t="s">
        <v>290</v>
      </c>
    </row>
    <row r="23" spans="1:18" ht="96" customHeight="1">
      <c r="A23" s="44"/>
      <c r="B23" s="124"/>
      <c r="C23" s="58"/>
      <c r="D23" s="37"/>
      <c r="E23" s="230" t="s">
        <v>277</v>
      </c>
      <c r="F23" s="123" t="s">
        <v>278</v>
      </c>
      <c r="G23" s="70" t="s">
        <v>287</v>
      </c>
      <c r="H23" s="145" t="s">
        <v>109</v>
      </c>
      <c r="I23" s="37"/>
      <c r="J23" s="44"/>
      <c r="K23" s="37"/>
      <c r="L23" s="78" t="s">
        <v>279</v>
      </c>
      <c r="M23" s="67" t="s">
        <v>280</v>
      </c>
    </row>
    <row r="24" spans="1:18" ht="18.75" customHeight="1">
      <c r="A24" s="72"/>
      <c r="B24" s="74"/>
      <c r="C24" s="72"/>
      <c r="D24" s="74"/>
      <c r="E24" s="72"/>
      <c r="F24" s="74"/>
      <c r="G24" s="141"/>
      <c r="H24" s="143"/>
      <c r="I24" s="74"/>
      <c r="J24" s="72"/>
      <c r="K24" s="74"/>
      <c r="L24" s="72" t="s">
        <v>312</v>
      </c>
      <c r="M24" s="73" t="s">
        <v>282</v>
      </c>
    </row>
    <row r="25" spans="1:18" ht="15"/>
    <row r="26" spans="1:18" ht="15"/>
    <row r="27" spans="1:18" ht="15"/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phoneticPr fontId="9" type="noConversion"/>
  <hyperlinks>
    <hyperlink ref="A1" location="'Objetos de Dominio'!A1" display="Volver al inicio" xr:uid="{AE79CE78-B338-4C62-AF33-16F3C6255A3F}"/>
    <hyperlink ref="A1:N1" location="'Listado Objetos de Dominio'!A1" display="&lt;-Volver al inicio" xr:uid="{A0C9607F-7E3C-4572-B629-025E1E3118B5}"/>
    <hyperlink ref="D1" location="'Listado Objetos de Dominio'!A1" display="&lt;-Volver al inicio" xr:uid="{6E52F89E-2FD2-4899-BB82-2663C7F99C1B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3825-6DDF-4638-B575-3E61263FD7F7}">
  <sheetPr>
    <tabColor theme="4"/>
  </sheetPr>
  <dimension ref="A1:N11"/>
  <sheetViews>
    <sheetView zoomScale="106" zoomScaleNormal="106" workbookViewId="0">
      <selection activeCell="B7" sqref="B7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8" style="1" customWidth="1"/>
    <col min="8" max="8" width="15.28515625" style="1" bestFit="1" customWidth="1"/>
    <col min="9" max="9" width="22.42578125" style="1" customWidth="1"/>
    <col min="10" max="10" width="30.5703125" style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Dominio'!$A$10</f>
        <v xml:space="preserve">Fabricante 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3" t="str">
        <f>'Listado Objetos de Dominio'!$B$10</f>
        <v>objeto de dominio que representa al fabricante del avion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4"/>
      <c r="N3" s="6"/>
    </row>
    <row r="4" spans="1:14" ht="47.2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48.5" customHeight="1">
      <c r="A7" s="204" t="s">
        <v>89</v>
      </c>
      <c r="B7" s="330" t="s">
        <v>313</v>
      </c>
      <c r="C7" s="115" t="s">
        <v>314</v>
      </c>
      <c r="D7" s="130" t="s">
        <v>315</v>
      </c>
      <c r="E7" s="212"/>
      <c r="F7" s="241"/>
      <c r="G7" s="71" t="s">
        <v>316</v>
      </c>
      <c r="H7" s="242" t="s">
        <v>94</v>
      </c>
      <c r="I7" s="204"/>
      <c r="J7" s="115" t="s">
        <v>317</v>
      </c>
      <c r="K7" s="111"/>
      <c r="L7" s="111"/>
      <c r="M7" s="78"/>
    </row>
    <row r="10" spans="1:14" ht="44.1" customHeight="1"/>
    <row r="11" spans="1:14" ht="15"/>
  </sheetData>
  <mergeCells count="17"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</mergeCells>
  <hyperlinks>
    <hyperlink ref="A1" location="'Objetos de Dominio'!A1" display="Volver al inicio" xr:uid="{ECAADB90-CB3C-4BBD-9CF1-20776DCEF5CE}"/>
    <hyperlink ref="A1:N1" location="'Listado Objetos de Dominio'!A1" display="&lt;-Volver al inicio" xr:uid="{0E0736CC-8C73-49FD-A83A-906FD85D56A4}"/>
    <hyperlink ref="D1" location="'Listado Objetos de Dominio'!A1" display="&lt;-Volver al inicio" xr:uid="{370D5541-4EC2-4D13-BAFF-8AF188066FAF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270D-884A-4B59-A637-03DCD9841DA7}">
  <sheetPr>
    <tabColor rgb="FFFDD3DD"/>
  </sheetPr>
  <dimension ref="A1:N8"/>
  <sheetViews>
    <sheetView zoomScale="106" zoomScaleNormal="106" workbookViewId="0">
      <selection activeCell="H7" sqref="H7"/>
    </sheetView>
  </sheetViews>
  <sheetFormatPr defaultColWidth="11.42578125" defaultRowHeight="14.45"/>
  <cols>
    <col min="1" max="1" width="23.85546875" style="1" bestFit="1" customWidth="1"/>
    <col min="2" max="2" width="32.7109375" style="1" customWidth="1"/>
    <col min="3" max="3" width="30.7109375" style="1" customWidth="1"/>
    <col min="4" max="4" width="26.42578125" style="1" customWidth="1"/>
    <col min="5" max="6" width="18.85546875" style="1" customWidth="1"/>
    <col min="7" max="7" width="17.140625" style="1" customWidth="1"/>
    <col min="8" max="8" width="15.28515625" style="1" bestFit="1" customWidth="1"/>
    <col min="9" max="9" width="21.425781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Dominio'!$A$11</f>
        <v>Familia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Dominio'!$B$11</f>
        <v xml:space="preserve">Objeto de dominio que representa la familia a la que pertenece el avion 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15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54.5" customHeight="1">
      <c r="A7" s="204" t="s">
        <v>89</v>
      </c>
      <c r="B7" s="343" t="s">
        <v>318</v>
      </c>
      <c r="C7" s="106" t="s">
        <v>319</v>
      </c>
      <c r="D7" s="212" t="s">
        <v>24</v>
      </c>
      <c r="E7" s="115" t="s">
        <v>320</v>
      </c>
      <c r="F7" s="106" t="s">
        <v>321</v>
      </c>
      <c r="G7" s="127" t="s">
        <v>322</v>
      </c>
      <c r="H7" s="166" t="s">
        <v>94</v>
      </c>
      <c r="I7" s="219"/>
      <c r="J7" s="115" t="s">
        <v>323</v>
      </c>
      <c r="K7" s="112"/>
      <c r="L7" s="107"/>
      <c r="M7" s="67"/>
    </row>
    <row r="8" spans="1:14" ht="15"/>
  </sheetData>
  <mergeCells count="17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  <mergeCell ref="J5:J6"/>
  </mergeCells>
  <hyperlinks>
    <hyperlink ref="A1" location="'Objetos de Dominio'!A1" display="Volver al inicio" xr:uid="{4B9CD415-F96E-4D54-A7D1-65342D32EF43}"/>
    <hyperlink ref="A1:N1" location="'Listado Objetos de Dominio'!A1" display="&lt;-Volver al inicio" xr:uid="{46A8C7BC-FBD6-4873-B708-872AA9D8FBF3}"/>
    <hyperlink ref="D1" location="'Listado Objetos de Dominio'!A1" display="&lt;-Volver al inicio" xr:uid="{653CF17B-C5EB-461E-9A00-48A41E9B82D8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E010-60D5-4C12-BE77-45D1BD9ECB2F}">
  <sheetPr>
    <tabColor rgb="FFCC99FF"/>
  </sheetPr>
  <dimension ref="A1:N17"/>
  <sheetViews>
    <sheetView topLeftCell="A7" zoomScale="106" zoomScaleNormal="106" workbookViewId="0">
      <selection activeCell="H7" sqref="H7"/>
    </sheetView>
  </sheetViews>
  <sheetFormatPr defaultColWidth="11.42578125" defaultRowHeight="14.45"/>
  <cols>
    <col min="1" max="1" width="23.85546875" style="1" bestFit="1" customWidth="1"/>
    <col min="2" max="2" width="16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6.5703125" style="1" customWidth="1"/>
    <col min="8" max="8" width="15.28515625" style="1" bestFit="1" customWidth="1"/>
    <col min="9" max="9" width="26.140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Dominio'!$A$12</f>
        <v>Matricula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Dominio'!$B$12</f>
        <v>objeto de domino que representa un codigo asignado a la aeronave por un pais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15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14" t="s">
        <v>87</v>
      </c>
      <c r="F6" s="14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41" customHeight="1">
      <c r="A7" s="161" t="s">
        <v>89</v>
      </c>
      <c r="B7" s="150" t="s">
        <v>324</v>
      </c>
      <c r="C7" s="151" t="s">
        <v>325</v>
      </c>
      <c r="D7" s="161" t="s">
        <v>26</v>
      </c>
      <c r="E7" s="234" t="s">
        <v>326</v>
      </c>
      <c r="F7" s="235" t="s">
        <v>327</v>
      </c>
      <c r="G7" s="101" t="s">
        <v>328</v>
      </c>
      <c r="H7" s="217" t="s">
        <v>94</v>
      </c>
      <c r="I7" s="95"/>
      <c r="J7" s="70" t="s">
        <v>329</v>
      </c>
      <c r="K7" s="213"/>
      <c r="L7" s="167" t="s">
        <v>330</v>
      </c>
      <c r="M7" s="130" t="s">
        <v>331</v>
      </c>
    </row>
    <row r="8" spans="1:14" ht="48" customHeight="1">
      <c r="A8" s="138"/>
      <c r="B8" s="125"/>
      <c r="C8" s="124"/>
      <c r="D8" s="139"/>
      <c r="E8" s="236" t="s">
        <v>332</v>
      </c>
      <c r="F8" s="40" t="s">
        <v>333</v>
      </c>
      <c r="G8" s="104"/>
      <c r="H8" s="227"/>
      <c r="I8" s="39"/>
      <c r="J8" s="69"/>
      <c r="K8" s="200"/>
      <c r="L8" s="173"/>
      <c r="M8" s="170" t="s">
        <v>334</v>
      </c>
    </row>
    <row r="9" spans="1:14" ht="74.25" customHeight="1">
      <c r="A9" s="270" t="s">
        <v>89</v>
      </c>
      <c r="B9" s="294" t="s">
        <v>335</v>
      </c>
      <c r="C9" s="271" t="s">
        <v>336</v>
      </c>
      <c r="D9" s="272" t="s">
        <v>26</v>
      </c>
      <c r="E9" s="273" t="s">
        <v>337</v>
      </c>
      <c r="F9" s="274" t="s">
        <v>327</v>
      </c>
      <c r="G9" s="275" t="s">
        <v>338</v>
      </c>
      <c r="H9" s="276" t="s">
        <v>339</v>
      </c>
      <c r="I9" s="274"/>
      <c r="J9" s="277" t="s">
        <v>330</v>
      </c>
      <c r="K9" s="278"/>
      <c r="L9" s="272" t="s">
        <v>329</v>
      </c>
      <c r="M9" s="279" t="s">
        <v>340</v>
      </c>
    </row>
    <row r="10" spans="1:14" ht="76.5" customHeight="1">
      <c r="A10" s="275"/>
      <c r="B10" s="280"/>
      <c r="C10" s="280"/>
      <c r="D10" s="281"/>
      <c r="E10" s="273" t="s">
        <v>332</v>
      </c>
      <c r="F10" s="274" t="s">
        <v>341</v>
      </c>
      <c r="G10" s="282" t="s">
        <v>342</v>
      </c>
      <c r="H10" s="283" t="s">
        <v>343</v>
      </c>
      <c r="I10" s="284"/>
      <c r="J10" s="285"/>
      <c r="K10" s="286"/>
      <c r="L10" s="281"/>
      <c r="M10" s="287" t="s">
        <v>334</v>
      </c>
    </row>
    <row r="11" spans="1:14" ht="128.25" customHeight="1">
      <c r="A11" s="275"/>
      <c r="B11" s="280"/>
      <c r="C11" s="280"/>
      <c r="D11" s="288"/>
      <c r="E11" s="289"/>
      <c r="F11" s="290"/>
      <c r="G11" s="278" t="s">
        <v>344</v>
      </c>
      <c r="H11" s="291" t="s">
        <v>109</v>
      </c>
      <c r="I11" s="284"/>
      <c r="J11" s="285"/>
      <c r="K11" s="286"/>
      <c r="L11" s="288"/>
      <c r="M11" s="287"/>
    </row>
    <row r="12" spans="1:14" ht="73.5" customHeight="1">
      <c r="A12" s="270" t="s">
        <v>102</v>
      </c>
      <c r="B12" s="294" t="s">
        <v>345</v>
      </c>
      <c r="C12" s="271" t="s">
        <v>346</v>
      </c>
      <c r="D12" s="281" t="s">
        <v>26</v>
      </c>
      <c r="E12" s="292" t="s">
        <v>337</v>
      </c>
      <c r="F12" s="283" t="s">
        <v>327</v>
      </c>
      <c r="G12" s="293" t="s">
        <v>338</v>
      </c>
      <c r="H12" s="273" t="s">
        <v>339</v>
      </c>
      <c r="I12" s="271"/>
      <c r="J12" s="294" t="s">
        <v>347</v>
      </c>
      <c r="K12" s="295"/>
      <c r="L12" s="296" t="s">
        <v>329</v>
      </c>
      <c r="M12" s="272" t="s">
        <v>340</v>
      </c>
    </row>
    <row r="13" spans="1:14" ht="47.25" customHeight="1">
      <c r="A13" s="275"/>
      <c r="B13" s="297"/>
      <c r="C13" s="297"/>
      <c r="D13" s="281"/>
      <c r="E13" s="273" t="s">
        <v>332</v>
      </c>
      <c r="F13" s="274" t="s">
        <v>333</v>
      </c>
      <c r="G13" s="298" t="s">
        <v>342</v>
      </c>
      <c r="H13" s="273" t="s">
        <v>343</v>
      </c>
      <c r="I13" s="297"/>
      <c r="J13" s="299"/>
      <c r="K13" s="300"/>
      <c r="L13" s="294" t="s">
        <v>330</v>
      </c>
      <c r="M13" s="281"/>
    </row>
    <row r="14" spans="1:14" ht="126" customHeight="1">
      <c r="A14" s="301"/>
      <c r="B14" s="276"/>
      <c r="C14" s="276"/>
      <c r="D14" s="288"/>
      <c r="E14" s="289"/>
      <c r="F14" s="276"/>
      <c r="G14" s="302" t="s">
        <v>344</v>
      </c>
      <c r="H14" s="291" t="s">
        <v>109</v>
      </c>
      <c r="I14" s="276"/>
      <c r="J14" s="303"/>
      <c r="K14" s="304"/>
      <c r="L14" s="303"/>
      <c r="M14" s="288"/>
    </row>
    <row r="15" spans="1:14" ht="15"/>
    <row r="16" spans="1:14" ht="15"/>
    <row r="17" ht="15"/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phoneticPr fontId="9" type="noConversion"/>
  <hyperlinks>
    <hyperlink ref="A1" location="'Objetos de Dominio'!A1" display="Volver al inicio" xr:uid="{71A518F0-7D36-4519-915C-39C0F2D5F4AB}"/>
    <hyperlink ref="A1:N1" location="'Listado Objetos de Dominio'!A1" display="&lt;-Volver al inicio" xr:uid="{FDCB6DCA-C084-4DE8-8679-EDB4454B8F8E}"/>
    <hyperlink ref="D1" location="'Listado Objetos de Dominio'!A1" display="&lt;-Volver al inicio" xr:uid="{D2518862-9179-4B5F-8248-C879EB9A9335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8BB0-6020-4D54-A470-29C9209C206C}">
  <sheetPr>
    <tabColor rgb="FFFFC000"/>
  </sheetPr>
  <dimension ref="A1:N10"/>
  <sheetViews>
    <sheetView zoomScale="106" zoomScaleNormal="106" workbookViewId="0">
      <selection activeCell="B7" sqref="B7:B8"/>
    </sheetView>
  </sheetViews>
  <sheetFormatPr defaultColWidth="11.42578125" defaultRowHeight="14.45"/>
  <cols>
    <col min="1" max="1" width="23.85546875" style="1" bestFit="1" customWidth="1"/>
    <col min="2" max="2" width="25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6.85546875" style="1" customWidth="1"/>
    <col min="8" max="8" width="15.28515625" style="1" bestFit="1" customWidth="1"/>
    <col min="9" max="9" width="20.140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Dominio'!$A$13</f>
        <v>Modelo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Dominio'!$B$13</f>
        <v>objeto de dominio que representa el tipo,motor y nombre  de la aeronave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15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79" t="s">
        <v>76</v>
      </c>
      <c r="K4" s="15" t="s">
        <v>77</v>
      </c>
      <c r="L4" s="367" t="s">
        <v>78</v>
      </c>
      <c r="M4" s="369" t="s">
        <v>79</v>
      </c>
      <c r="N4" s="6"/>
    </row>
    <row r="5" spans="1:14" ht="15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420" t="s">
        <v>84</v>
      </c>
      <c r="J5" s="416" t="s">
        <v>85</v>
      </c>
      <c r="K5" s="418" t="s">
        <v>86</v>
      </c>
      <c r="L5" s="367"/>
      <c r="M5" s="369"/>
    </row>
    <row r="6" spans="1:14" ht="15">
      <c r="A6" s="359"/>
      <c r="B6" s="360"/>
      <c r="C6" s="360"/>
      <c r="D6" s="385"/>
      <c r="E6" s="14" t="s">
        <v>87</v>
      </c>
      <c r="F6" s="14" t="s">
        <v>3</v>
      </c>
      <c r="G6" s="49" t="s">
        <v>88</v>
      </c>
      <c r="H6" s="54" t="s">
        <v>3</v>
      </c>
      <c r="I6" s="421"/>
      <c r="J6" s="417"/>
      <c r="K6" s="419"/>
      <c r="L6" s="368"/>
      <c r="M6" s="370"/>
    </row>
    <row r="7" spans="1:14" ht="142.5" customHeight="1">
      <c r="A7" s="373" t="s">
        <v>89</v>
      </c>
      <c r="B7" s="422" t="s">
        <v>348</v>
      </c>
      <c r="C7" s="422" t="s">
        <v>349</v>
      </c>
      <c r="D7" s="381" t="s">
        <v>28</v>
      </c>
      <c r="E7" s="56" t="s">
        <v>350</v>
      </c>
      <c r="F7" s="57" t="s">
        <v>351</v>
      </c>
      <c r="G7" s="92" t="s">
        <v>352</v>
      </c>
      <c r="H7" s="92" t="s">
        <v>94</v>
      </c>
      <c r="I7" s="98"/>
      <c r="J7" s="218" t="s">
        <v>353</v>
      </c>
      <c r="K7" s="128"/>
      <c r="L7" s="237"/>
      <c r="M7" s="238"/>
    </row>
    <row r="8" spans="1:14" ht="46.5" customHeight="1">
      <c r="A8" s="375"/>
      <c r="B8" s="423"/>
      <c r="C8" s="423"/>
      <c r="D8" s="383"/>
      <c r="E8" s="115" t="s">
        <v>354</v>
      </c>
      <c r="F8" s="115" t="s">
        <v>355</v>
      </c>
      <c r="G8" s="93"/>
      <c r="H8" s="93"/>
      <c r="I8" s="97"/>
      <c r="J8" s="93"/>
      <c r="K8" s="215"/>
      <c r="L8" s="239"/>
      <c r="M8" s="240"/>
    </row>
    <row r="9" spans="1:14" ht="15"/>
    <row r="10" spans="1:14" ht="15"/>
  </sheetData>
  <mergeCells count="21">
    <mergeCell ref="I5:I6"/>
    <mergeCell ref="A7:A8"/>
    <mergeCell ref="B7:B8"/>
    <mergeCell ref="C7:C8"/>
    <mergeCell ref="D7:D8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phoneticPr fontId="9" type="noConversion"/>
  <hyperlinks>
    <hyperlink ref="A1" location="'Objetos de Dominio'!A1" display="Volver al inicio" xr:uid="{D465FF1A-CF08-45A5-A96E-AFA0C8DBF3C8}"/>
    <hyperlink ref="A1:N1" location="'Listado Objetos de Dominio'!A1" display="&lt;-Volver al inicio" xr:uid="{1CF4EB01-FC0E-46BD-8676-A5141F704B3E}"/>
    <hyperlink ref="D1" location="'Listado Objetos de Dominio'!A1" display="&lt;-Volver al inicio" xr:uid="{1C22256D-D020-4988-B1EF-262C25CEE972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3539-F871-44B8-B1F0-90FD8645603B}">
  <sheetPr>
    <tabColor theme="4"/>
  </sheetPr>
  <dimension ref="A1:N9"/>
  <sheetViews>
    <sheetView zoomScale="106" zoomScaleNormal="106" workbookViewId="0">
      <selection activeCell="B8" sqref="B8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5.140625" style="1" customWidth="1"/>
    <col min="8" max="8" width="15.28515625" style="1" bestFit="1" customWidth="1"/>
    <col min="9" max="9" width="15.28515625" style="1" customWidth="1"/>
    <col min="10" max="10" width="21.140625" style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Dominio'!$A$14</f>
        <v>Motor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Dominio'!$B$14</f>
        <v>objeto de dominio que representa que tipo de motor tiene el avion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28.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41.75" customHeight="1">
      <c r="A7" s="204" t="s">
        <v>89</v>
      </c>
      <c r="B7" s="268" t="s">
        <v>356</v>
      </c>
      <c r="C7" s="154" t="s">
        <v>357</v>
      </c>
      <c r="D7" s="241" t="s">
        <v>30</v>
      </c>
      <c r="E7" s="204"/>
      <c r="F7" s="204"/>
      <c r="G7" s="71" t="s">
        <v>358</v>
      </c>
      <c r="H7" s="83" t="s">
        <v>94</v>
      </c>
      <c r="I7" s="162"/>
      <c r="J7" s="154" t="s">
        <v>359</v>
      </c>
      <c r="K7" s="78"/>
      <c r="L7" s="67"/>
      <c r="M7" s="67"/>
    </row>
    <row r="8" spans="1:14" ht="15"/>
    <row r="9" spans="1:14" ht="15"/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phoneticPr fontId="9" type="noConversion"/>
  <hyperlinks>
    <hyperlink ref="A1" location="'Objetos de Dominio'!A1" display="Volver al inicio" xr:uid="{58B2A540-D71D-4D35-8625-CC4DD06D2ED3}"/>
    <hyperlink ref="A1:N1" location="'Listado Objetos de Dominio'!A1" display="&lt;-Volver al inicio" xr:uid="{64F6D757-AED3-4602-91D6-70DE97A73D86}"/>
    <hyperlink ref="D1" location="'Listado Objetos de Dominio'!A1" display="&lt;-Volver al inicio" xr:uid="{7FE57690-09BB-49E8-9EF8-8239EC370501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EAE7-2671-49E1-AE89-3CD3DEC93FA1}">
  <sheetPr>
    <tabColor rgb="FFCC99FF"/>
  </sheetPr>
  <dimension ref="A1:N16"/>
  <sheetViews>
    <sheetView zoomScaleNormal="100" workbookViewId="0">
      <selection activeCell="F10" sqref="F10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6.140625" style="1" customWidth="1"/>
    <col min="8" max="8" width="32" style="1" customWidth="1"/>
    <col min="9" max="9" width="20.57031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Dominio'!$A$15</f>
        <v>Ruta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Dominio'!$B$15</f>
        <v>Objeto de dominio que representa el origen  y destino de un vuelo de un aeropuerto a otro realizado por una aerolinea nacional o internacionalmente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25.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9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53" t="s">
        <v>87</v>
      </c>
      <c r="F6" s="14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88.5" customHeight="1">
      <c r="A7" s="62" t="s">
        <v>89</v>
      </c>
      <c r="B7" s="140" t="s">
        <v>360</v>
      </c>
      <c r="C7" s="140" t="s">
        <v>361</v>
      </c>
      <c r="D7" s="43" t="s">
        <v>32</v>
      </c>
      <c r="E7" s="29" t="s">
        <v>362</v>
      </c>
      <c r="F7" s="28" t="s">
        <v>363</v>
      </c>
      <c r="G7" s="94" t="s">
        <v>364</v>
      </c>
      <c r="H7" s="103" t="s">
        <v>94</v>
      </c>
      <c r="I7" s="100"/>
      <c r="J7" s="62" t="s">
        <v>365</v>
      </c>
      <c r="K7" s="90"/>
      <c r="L7" s="85"/>
      <c r="M7" s="84"/>
    </row>
    <row r="8" spans="1:14" ht="75.75" customHeight="1">
      <c r="A8" s="91"/>
      <c r="B8" s="91"/>
      <c r="C8" s="91"/>
      <c r="D8" s="86"/>
      <c r="E8" s="424" t="s">
        <v>366</v>
      </c>
      <c r="F8" s="426" t="s">
        <v>367</v>
      </c>
      <c r="G8" s="86"/>
      <c r="I8" s="91"/>
      <c r="J8" s="42"/>
      <c r="K8" s="91"/>
      <c r="L8" s="86"/>
      <c r="M8" s="131"/>
    </row>
    <row r="9" spans="1:14" ht="88.5" customHeight="1">
      <c r="A9" s="89"/>
      <c r="B9" s="89"/>
      <c r="C9" s="89"/>
      <c r="D9" s="89"/>
      <c r="E9" s="425"/>
      <c r="F9" s="427"/>
      <c r="G9" s="87"/>
      <c r="H9" s="96"/>
      <c r="I9" s="89"/>
      <c r="J9" s="75"/>
      <c r="K9" s="89"/>
      <c r="L9" s="87"/>
      <c r="M9" s="88"/>
    </row>
    <row r="10" spans="1:14" ht="15"/>
    <row r="11" spans="1:14" ht="15"/>
    <row r="12" spans="1:14" ht="15"/>
    <row r="13" spans="1:14" ht="15"/>
    <row r="14" spans="1:14" ht="15"/>
    <row r="15" spans="1:14" ht="15"/>
    <row r="16" spans="1:14" ht="15"/>
  </sheetData>
  <mergeCells count="19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E8:E9"/>
    <mergeCell ref="F8:F9"/>
    <mergeCell ref="I5:I6"/>
    <mergeCell ref="J5:J6"/>
  </mergeCells>
  <phoneticPr fontId="9" type="noConversion"/>
  <hyperlinks>
    <hyperlink ref="A1" location="'Objetos de Dominio'!A1" display="Volver al inicio" xr:uid="{1607284C-B990-4D83-AE02-B11B668E12CE}"/>
    <hyperlink ref="A1:N1" location="'Listado Objetos de Dominio'!A1" display="&lt;-Volver al inicio" xr:uid="{BE4DA27D-B04C-4B90-B034-FB8BDD7B78F7}"/>
    <hyperlink ref="D1" location="'Listado Objetos de Dominio'!A1" display="&lt;-Volver al inicio" xr:uid="{6E6902DD-4984-4D60-A388-E255BA37BDF6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1720-AE5D-4D9D-A7D6-12EEEEFE72F5}">
  <sheetPr>
    <tabColor rgb="FF00B050"/>
  </sheetPr>
  <dimension ref="A1:N18"/>
  <sheetViews>
    <sheetView topLeftCell="A4" zoomScale="106" zoomScaleNormal="106" workbookViewId="0">
      <selection activeCell="G13" sqref="G13"/>
    </sheetView>
  </sheetViews>
  <sheetFormatPr defaultColWidth="11.42578125" defaultRowHeight="14.45"/>
  <cols>
    <col min="1" max="1" width="23.85546875" style="1" bestFit="1" customWidth="1"/>
    <col min="2" max="2" width="23.42578125" style="1" customWidth="1"/>
    <col min="3" max="3" width="18.85546875" style="1" bestFit="1" customWidth="1"/>
    <col min="4" max="4" width="26.42578125" style="1" customWidth="1"/>
    <col min="5" max="5" width="18.85546875" style="1" customWidth="1"/>
    <col min="6" max="6" width="19.42578125" style="1" customWidth="1"/>
    <col min="7" max="7" width="23.42578125" style="1" customWidth="1"/>
    <col min="8" max="8" width="15.28515625" style="1" bestFit="1" customWidth="1"/>
    <col min="9" max="9" width="22.42578125" style="1" customWidth="1"/>
    <col min="10" max="10" width="28.5703125" style="1" bestFit="1" customWidth="1"/>
    <col min="11" max="11" width="20.85546875" style="1" customWidth="1"/>
    <col min="12" max="12" width="26.42578125" style="1" customWidth="1"/>
    <col min="13" max="13" width="36.57031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Dominio'!$A$16</f>
        <v>Ruta Aerolinea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Dominio'!$B$16</f>
        <v xml:space="preserve">Objeto de dominio que representa el trajecto que realiza un avion de una aerolinea en una cantidad determinada de vuelos 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29.2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79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420" t="s">
        <v>84</v>
      </c>
      <c r="J5" s="428" t="s">
        <v>85</v>
      </c>
      <c r="K5" s="418" t="s">
        <v>86</v>
      </c>
      <c r="L5" s="367"/>
      <c r="M5" s="369"/>
    </row>
    <row r="6" spans="1:14">
      <c r="A6" s="359"/>
      <c r="B6" s="360"/>
      <c r="C6" s="360"/>
      <c r="D6" s="385"/>
      <c r="E6" s="14" t="s">
        <v>87</v>
      </c>
      <c r="F6" s="14" t="s">
        <v>3</v>
      </c>
      <c r="G6" s="49" t="s">
        <v>88</v>
      </c>
      <c r="H6" s="54" t="s">
        <v>3</v>
      </c>
      <c r="I6" s="421"/>
      <c r="J6" s="428"/>
      <c r="K6" s="419"/>
      <c r="L6" s="368"/>
      <c r="M6" s="370"/>
    </row>
    <row r="7" spans="1:14" ht="144.75" customHeight="1">
      <c r="A7" s="187" t="s">
        <v>89</v>
      </c>
      <c r="B7" s="334" t="s">
        <v>368</v>
      </c>
      <c r="C7" s="335" t="s">
        <v>369</v>
      </c>
      <c r="D7" s="161" t="s">
        <v>370</v>
      </c>
      <c r="E7" s="234" t="s">
        <v>371</v>
      </c>
      <c r="F7" s="235" t="s">
        <v>372</v>
      </c>
      <c r="G7" s="60" t="s">
        <v>373</v>
      </c>
      <c r="H7" s="217" t="s">
        <v>94</v>
      </c>
      <c r="I7" s="95"/>
      <c r="J7" s="70" t="s">
        <v>374</v>
      </c>
      <c r="K7" s="214"/>
      <c r="L7" s="204" t="s">
        <v>375</v>
      </c>
      <c r="M7" s="130" t="s">
        <v>376</v>
      </c>
    </row>
    <row r="8" spans="1:14" ht="56.25" customHeight="1">
      <c r="A8" s="226"/>
      <c r="B8" s="336"/>
      <c r="C8" s="337"/>
      <c r="D8" s="227"/>
      <c r="E8" s="249" t="s">
        <v>332</v>
      </c>
      <c r="F8" s="129" t="s">
        <v>377</v>
      </c>
      <c r="G8" s="226"/>
      <c r="H8" s="227"/>
      <c r="I8" s="160"/>
      <c r="J8" s="227"/>
      <c r="K8" s="202"/>
      <c r="L8" s="191" t="s">
        <v>378</v>
      </c>
      <c r="M8" s="139" t="s">
        <v>379</v>
      </c>
    </row>
    <row r="9" spans="1:14" ht="57" customHeight="1">
      <c r="A9" s="164"/>
      <c r="B9" s="338"/>
      <c r="C9" s="339"/>
      <c r="D9" s="51"/>
      <c r="E9" s="250" t="s">
        <v>362</v>
      </c>
      <c r="F9" s="251" t="s">
        <v>380</v>
      </c>
      <c r="G9" s="170" t="s">
        <v>381</v>
      </c>
      <c r="H9" s="41" t="s">
        <v>382</v>
      </c>
      <c r="I9" s="92"/>
      <c r="J9" s="167"/>
      <c r="K9" s="101"/>
      <c r="L9" s="126" t="s">
        <v>383</v>
      </c>
      <c r="M9" s="161"/>
    </row>
    <row r="10" spans="1:14" ht="129" customHeight="1">
      <c r="A10" s="170" t="s">
        <v>102</v>
      </c>
      <c r="B10" s="340" t="s">
        <v>384</v>
      </c>
      <c r="C10" s="341" t="s">
        <v>385</v>
      </c>
      <c r="D10" s="170" t="s">
        <v>370</v>
      </c>
      <c r="E10" s="346" t="s">
        <v>366</v>
      </c>
      <c r="F10" s="40" t="s">
        <v>386</v>
      </c>
      <c r="G10" s="187" t="s">
        <v>387</v>
      </c>
      <c r="H10" s="70" t="s">
        <v>109</v>
      </c>
      <c r="I10" s="200"/>
      <c r="J10" s="68" t="s">
        <v>378</v>
      </c>
      <c r="K10" s="102"/>
      <c r="L10" s="60" t="s">
        <v>388</v>
      </c>
      <c r="M10" s="139" t="s">
        <v>389</v>
      </c>
    </row>
    <row r="11" spans="1:14" ht="57" customHeight="1">
      <c r="A11" s="175"/>
      <c r="B11" s="342"/>
      <c r="C11" s="342"/>
      <c r="D11" s="252"/>
      <c r="E11" s="347"/>
      <c r="F11" s="251"/>
      <c r="G11" s="229"/>
      <c r="H11" s="105"/>
      <c r="I11" s="200"/>
      <c r="J11" s="177"/>
      <c r="K11" s="104"/>
      <c r="L11" s="188"/>
      <c r="M11" s="139"/>
    </row>
    <row r="12" spans="1:14" ht="62.25" customHeight="1">
      <c r="A12" s="164"/>
      <c r="B12" s="338"/>
      <c r="C12" s="339"/>
      <c r="D12" s="51"/>
      <c r="E12" s="250" t="s">
        <v>362</v>
      </c>
      <c r="F12" s="251" t="s">
        <v>380</v>
      </c>
      <c r="G12" s="164" t="s">
        <v>390</v>
      </c>
      <c r="H12" s="41" t="s">
        <v>391</v>
      </c>
      <c r="I12" s="92"/>
      <c r="J12" s="167"/>
      <c r="K12" s="158"/>
      <c r="L12" s="172" t="s">
        <v>383</v>
      </c>
      <c r="M12" s="161" t="s">
        <v>389</v>
      </c>
    </row>
    <row r="13" spans="1:14" ht="132" customHeight="1">
      <c r="A13" s="170" t="s">
        <v>102</v>
      </c>
      <c r="B13" s="340" t="s">
        <v>392</v>
      </c>
      <c r="C13" s="341" t="s">
        <v>393</v>
      </c>
      <c r="D13" s="170" t="s">
        <v>370</v>
      </c>
      <c r="E13" s="346" t="s">
        <v>366</v>
      </c>
      <c r="F13" s="40" t="s">
        <v>386</v>
      </c>
      <c r="G13" s="187" t="s">
        <v>387</v>
      </c>
      <c r="H13" s="70" t="s">
        <v>109</v>
      </c>
      <c r="I13" s="200"/>
      <c r="J13" s="68" t="s">
        <v>388</v>
      </c>
      <c r="K13" s="102"/>
      <c r="L13" s="60" t="s">
        <v>378</v>
      </c>
      <c r="M13" s="161" t="s">
        <v>379</v>
      </c>
    </row>
    <row r="14" spans="1:14" ht="54" customHeight="1">
      <c r="A14" s="175"/>
      <c r="B14" s="342"/>
      <c r="C14" s="342"/>
      <c r="D14" s="252"/>
      <c r="E14" s="347"/>
      <c r="F14" s="251"/>
      <c r="G14" s="229"/>
      <c r="H14" s="105"/>
      <c r="I14" s="202"/>
      <c r="J14" s="177"/>
      <c r="K14" s="104"/>
      <c r="L14" s="188"/>
      <c r="M14" s="138"/>
    </row>
    <row r="15" spans="1:14" ht="15">
      <c r="B15" s="34"/>
    </row>
    <row r="18" ht="15"/>
  </sheetData>
  <mergeCells count="17"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phoneticPr fontId="9" type="noConversion"/>
  <hyperlinks>
    <hyperlink ref="A1" location="'Objetos de Dominio'!A1" display="Volver al inicio" xr:uid="{8C8E852B-C364-4F7D-AF8C-D0ACFBF948EF}"/>
    <hyperlink ref="A1:N1" location="'Listado Objetos de Dominio'!A1" display="&lt;-Volver al inicio" xr:uid="{2CB3C9A3-64F3-4518-8BA2-B278D25B4D69}"/>
    <hyperlink ref="D1" location="'Listado Objetos de Dominio'!A1" display="&lt;-Volver al inicio" xr:uid="{41F47376-2A1C-4FF7-9138-3E2C34BF6ED0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B565-074A-414D-B29B-B6B4DA8F8B18}">
  <sheetPr>
    <tabColor theme="6"/>
  </sheetPr>
  <dimension ref="A1:N20"/>
  <sheetViews>
    <sheetView topLeftCell="A9" zoomScale="106" zoomScaleNormal="106" workbookViewId="0">
      <selection activeCell="B11" sqref="B11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12.1406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Dominio'!$A$17</f>
        <v>Tipo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Dominio'!$B$17</f>
        <v xml:space="preserve">objeto de dominio que representa el tipo de aeronaves 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15.7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 ht="15">
      <c r="A6" s="359"/>
      <c r="B6" s="360"/>
      <c r="C6" s="360"/>
      <c r="D6" s="385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43.25" customHeight="1">
      <c r="A7" s="187" t="s">
        <v>89</v>
      </c>
      <c r="B7" s="263" t="s">
        <v>394</v>
      </c>
      <c r="C7" s="333" t="s">
        <v>395</v>
      </c>
      <c r="D7" s="187" t="s">
        <v>36</v>
      </c>
      <c r="E7" s="98" t="s">
        <v>396</v>
      </c>
      <c r="F7" s="98" t="s">
        <v>397</v>
      </c>
      <c r="G7" s="161" t="s">
        <v>398</v>
      </c>
      <c r="H7" s="59" t="s">
        <v>94</v>
      </c>
      <c r="I7" s="101"/>
      <c r="J7" s="60" t="s">
        <v>399</v>
      </c>
      <c r="K7" s="94"/>
      <c r="L7" s="221" t="s">
        <v>400</v>
      </c>
      <c r="M7" s="209" t="s">
        <v>401</v>
      </c>
    </row>
    <row r="8" spans="1:14" ht="27" customHeight="1">
      <c r="A8" s="188"/>
      <c r="B8" s="118"/>
      <c r="C8" s="118"/>
      <c r="D8" s="188"/>
      <c r="E8" s="97"/>
      <c r="F8" s="97"/>
      <c r="G8" s="138"/>
      <c r="H8" s="146"/>
      <c r="I8" s="104"/>
      <c r="J8" s="116"/>
      <c r="K8" s="104"/>
      <c r="L8" s="204" t="s">
        <v>402</v>
      </c>
      <c r="M8" s="130" t="s">
        <v>403</v>
      </c>
    </row>
    <row r="9" spans="1:14" ht="55.5" customHeight="1">
      <c r="A9" s="170" t="s">
        <v>102</v>
      </c>
      <c r="B9" s="136" t="s">
        <v>404</v>
      </c>
      <c r="C9" s="253" t="s">
        <v>405</v>
      </c>
      <c r="D9" s="170" t="s">
        <v>36</v>
      </c>
      <c r="E9" s="41" t="s">
        <v>396</v>
      </c>
      <c r="F9" s="41" t="s">
        <v>397</v>
      </c>
      <c r="G9" s="102" t="s">
        <v>406</v>
      </c>
      <c r="H9" s="141" t="s">
        <v>407</v>
      </c>
      <c r="I9" s="200"/>
      <c r="J9" s="68" t="s">
        <v>408</v>
      </c>
      <c r="K9" s="102"/>
      <c r="L9" s="126" t="s">
        <v>409</v>
      </c>
      <c r="M9" s="139" t="s">
        <v>410</v>
      </c>
    </row>
    <row r="10" spans="1:14" ht="128.25" customHeight="1">
      <c r="A10" s="52"/>
      <c r="B10" s="253"/>
      <c r="C10" s="253"/>
      <c r="D10" s="170"/>
      <c r="E10" s="41"/>
      <c r="F10" s="41"/>
      <c r="G10" s="94" t="s">
        <v>411</v>
      </c>
      <c r="H10" s="92" t="s">
        <v>109</v>
      </c>
      <c r="I10" s="200"/>
      <c r="J10" s="68"/>
      <c r="K10" s="102"/>
      <c r="L10" s="265" t="s">
        <v>412</v>
      </c>
      <c r="M10" s="130" t="s">
        <v>401</v>
      </c>
    </row>
    <row r="11" spans="1:14" ht="57.75" customHeight="1">
      <c r="A11" s="187" t="s">
        <v>102</v>
      </c>
      <c r="B11" s="60" t="s">
        <v>413</v>
      </c>
      <c r="C11" s="98" t="s">
        <v>414</v>
      </c>
      <c r="D11" s="187" t="s">
        <v>36</v>
      </c>
      <c r="E11" s="98" t="s">
        <v>396</v>
      </c>
      <c r="F11" s="98" t="s">
        <v>397</v>
      </c>
      <c r="G11" s="109" t="s">
        <v>415</v>
      </c>
      <c r="H11" s="106" t="s">
        <v>416</v>
      </c>
      <c r="I11" s="128"/>
      <c r="J11" s="60" t="s">
        <v>400</v>
      </c>
      <c r="K11" s="254"/>
      <c r="L11" s="139" t="s">
        <v>409</v>
      </c>
      <c r="M11" s="133" t="s">
        <v>410</v>
      </c>
    </row>
    <row r="12" spans="1:14" ht="132.75" customHeight="1">
      <c r="A12" s="104"/>
      <c r="B12" s="118"/>
      <c r="C12" s="118"/>
      <c r="D12" s="104"/>
      <c r="E12" s="97"/>
      <c r="F12" s="97"/>
      <c r="G12" s="130" t="s">
        <v>411</v>
      </c>
      <c r="H12" s="71" t="s">
        <v>109</v>
      </c>
      <c r="I12" s="215"/>
      <c r="J12" s="104"/>
      <c r="K12" s="104"/>
      <c r="L12" s="130" t="s">
        <v>417</v>
      </c>
      <c r="M12" s="162" t="s">
        <v>403</v>
      </c>
    </row>
    <row r="13" spans="1:14" ht="15" customHeight="1"/>
    <row r="14" spans="1:14" ht="15" customHeight="1"/>
    <row r="15" spans="1:14" ht="15"/>
    <row r="17" ht="15"/>
    <row r="18" ht="15"/>
    <row r="20" ht="15"/>
  </sheetData>
  <mergeCells count="17"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  <mergeCell ref="I5:I6"/>
  </mergeCells>
  <phoneticPr fontId="9" type="noConversion"/>
  <hyperlinks>
    <hyperlink ref="A1" location="'Objetos de Dominio'!A1" display="Volver al inicio" xr:uid="{C3AE7F73-1F18-459B-8238-203F953E3B94}"/>
    <hyperlink ref="A1:N1" location="'Listado Objetos de Dominio'!A1" display="&lt;-Volver al inicio" xr:uid="{B90C8F62-A251-4FCB-92D4-3F8CEF67F418}"/>
    <hyperlink ref="D1" location="'Listado Objetos de Dominio'!A1" display="&lt;-Volver al inicio" xr:uid="{835BC9DB-0E2D-4A68-B8C6-27A7426BD244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sheetPr>
    <tabColor rgb="FF0070C0"/>
  </sheetPr>
  <dimension ref="A1:N10"/>
  <sheetViews>
    <sheetView zoomScale="70" zoomScaleNormal="70" workbookViewId="0">
      <pane ySplit="2" topLeftCell="A3" activePane="bottomLeft" state="frozen"/>
      <selection pane="bottomLeft" activeCell="A8" sqref="A8"/>
    </sheetView>
  </sheetViews>
  <sheetFormatPr defaultColWidth="11.42578125" defaultRowHeight="14.45"/>
  <cols>
    <col min="1" max="1" width="23.85546875" style="1" bestFit="1" customWidth="1"/>
    <col min="2" max="2" width="15.28515625" style="1" bestFit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6.140625" style="1" customWidth="1"/>
    <col min="8" max="8" width="18.5703125" style="1" customWidth="1"/>
    <col min="9" max="9" width="27.425781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 ht="15" thickBot="1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Dominio'!$A$18</f>
        <v>Tipo Aeropuerto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22.5" customHeight="1">
      <c r="A3" s="8" t="s">
        <v>69</v>
      </c>
      <c r="B3" s="355" t="str">
        <f>'Listado Objetos de Dominio'!$B$18</f>
        <v>Objeto de dominio que representa el tipo de aeropuerto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24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429" t="s">
        <v>78</v>
      </c>
      <c r="M4" s="431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429"/>
      <c r="M5" s="431"/>
    </row>
    <row r="6" spans="1:14">
      <c r="A6" s="359"/>
      <c r="B6" s="360"/>
      <c r="C6" s="360"/>
      <c r="D6" s="385"/>
      <c r="E6" s="35" t="s">
        <v>87</v>
      </c>
      <c r="F6" s="50" t="s">
        <v>3</v>
      </c>
      <c r="G6" s="49" t="s">
        <v>88</v>
      </c>
      <c r="H6" s="49" t="s">
        <v>3</v>
      </c>
      <c r="I6" s="362"/>
      <c r="J6" s="364"/>
      <c r="K6" s="372"/>
      <c r="L6" s="430"/>
      <c r="M6" s="432"/>
    </row>
    <row r="7" spans="1:14" ht="141" customHeight="1">
      <c r="A7" s="204" t="s">
        <v>89</v>
      </c>
      <c r="B7" s="331" t="s">
        <v>418</v>
      </c>
      <c r="C7" s="332" t="s">
        <v>419</v>
      </c>
      <c r="D7" s="266" t="s">
        <v>38</v>
      </c>
      <c r="E7" s="204"/>
      <c r="F7" s="204"/>
      <c r="G7" s="71" t="s">
        <v>420</v>
      </c>
      <c r="H7" s="267" t="s">
        <v>94</v>
      </c>
      <c r="I7" s="204"/>
      <c r="J7" s="115" t="s">
        <v>421</v>
      </c>
      <c r="K7" s="219"/>
      <c r="L7" s="219"/>
      <c r="M7" s="107"/>
    </row>
    <row r="9" spans="1:14" ht="50.45" customHeight="1"/>
    <row r="10" spans="1:14" ht="15"/>
  </sheetData>
  <mergeCells count="17">
    <mergeCell ref="B5:B6"/>
    <mergeCell ref="C5:C6"/>
    <mergeCell ref="A1:N1"/>
    <mergeCell ref="B2:M2"/>
    <mergeCell ref="B3:M3"/>
    <mergeCell ref="B4:C4"/>
    <mergeCell ref="E4:F4"/>
    <mergeCell ref="G4:H4"/>
    <mergeCell ref="L4:L6"/>
    <mergeCell ref="M4:M6"/>
    <mergeCell ref="E5:F5"/>
    <mergeCell ref="G5:H5"/>
    <mergeCell ref="K5:K6"/>
    <mergeCell ref="I5:I6"/>
    <mergeCell ref="J5:J6"/>
    <mergeCell ref="D5:D6"/>
    <mergeCell ref="A5:A6"/>
  </mergeCells>
  <hyperlinks>
    <hyperlink ref="A1" location="'Objetos de Dominio'!A1" display="Volver al inicio" xr:uid="{79C12EC1-52AC-413E-AC64-706EBBEE7DDD}"/>
    <hyperlink ref="A1:N1" location="'Listado Objetos de Dominio'!A1" display="&lt;-Volver al inicio" xr:uid="{CEFBA896-B5C8-4F54-8445-F270CCC4F878}"/>
    <hyperlink ref="D1" location="'Listado Objetos de Dominio'!A1" display="&lt;-Volver al inicio" xr:uid="{F84D1E52-B8E1-4C63-BC9C-5D02F82CEE8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BCDB-88B6-4D05-9ED9-64E5B18635DD}">
  <sheetPr>
    <tabColor theme="4"/>
  </sheetPr>
  <dimension ref="A1:N9"/>
  <sheetViews>
    <sheetView zoomScale="95" zoomScaleNormal="95" workbookViewId="0">
      <selection activeCell="D13" sqref="D13"/>
    </sheetView>
  </sheetViews>
  <sheetFormatPr defaultColWidth="11.42578125" defaultRowHeight="14.45"/>
  <cols>
    <col min="1" max="1" width="23.85546875" style="1" bestFit="1" customWidth="1"/>
    <col min="2" max="2" width="18.42578125" style="1" customWidth="1"/>
    <col min="3" max="3" width="18.85546875" style="1" bestFit="1" customWidth="1"/>
    <col min="4" max="4" width="26.42578125" style="1" customWidth="1"/>
    <col min="5" max="6" width="18.85546875" style="1" customWidth="1"/>
    <col min="7" max="7" width="21.42578125" style="1" customWidth="1"/>
    <col min="8" max="8" width="15.28515625" style="1" bestFit="1" customWidth="1"/>
    <col min="9" max="9" width="15.285156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Dominio'!$A$19</f>
        <v>Tipo Integrante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4"/>
      <c r="N2" s="5"/>
    </row>
    <row r="3" spans="1:14" ht="15.75" customHeight="1">
      <c r="A3" s="8" t="s">
        <v>69</v>
      </c>
      <c r="B3" s="355" t="str">
        <f>'Listado Objetos de Dominio'!$B$19</f>
        <v>Objeto de dominio que clasifica que caracteristica principal debe llevar un integrante que pertenece a una tripulacion.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6"/>
      <c r="N3" s="6"/>
    </row>
    <row r="4" spans="1:14" ht="24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>
      <c r="A6" s="359"/>
      <c r="B6" s="360"/>
      <c r="C6" s="360"/>
      <c r="D6" s="385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40.25" customHeight="1">
      <c r="A7" s="115" t="s">
        <v>89</v>
      </c>
      <c r="B7" s="330" t="s">
        <v>422</v>
      </c>
      <c r="C7" s="129" t="s">
        <v>423</v>
      </c>
      <c r="D7" s="115" t="s">
        <v>40</v>
      </c>
      <c r="E7" s="129"/>
      <c r="F7" s="129"/>
      <c r="G7" s="129" t="s">
        <v>424</v>
      </c>
      <c r="H7" s="71" t="s">
        <v>94</v>
      </c>
      <c r="I7" s="249"/>
      <c r="J7" s="115" t="s">
        <v>425</v>
      </c>
      <c r="K7" s="114"/>
      <c r="L7" s="114"/>
      <c r="M7" s="113"/>
    </row>
    <row r="9" spans="1:14" ht="15"/>
  </sheetData>
  <mergeCells count="17">
    <mergeCell ref="E5:F5"/>
    <mergeCell ref="G5:H5"/>
    <mergeCell ref="I5:I6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</mergeCells>
  <phoneticPr fontId="9" type="noConversion"/>
  <hyperlinks>
    <hyperlink ref="A1" location="'Objetos de Dominio'!A1" display="Volver al inicio" xr:uid="{5720B2EF-4E16-4189-9050-36A3D33BA384}"/>
    <hyperlink ref="A1:N1" location="'Listado Objetos de Dominio'!A1" display="&lt;-Volver al inicio" xr:uid="{B6075F0D-596F-45E8-AA3C-F2DF6CDF5EEC}"/>
    <hyperlink ref="D1" location="'Listado Objetos de Dominio'!A1" display="&lt;-Volver al inicio" xr:uid="{A6ED8DF8-C575-4788-B90F-EDA57E10B3FE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7197-2534-4B16-A02B-7994E933E673}">
  <sheetPr>
    <tabColor rgb="FFFF0066"/>
  </sheetPr>
  <dimension ref="A1:N32"/>
  <sheetViews>
    <sheetView tabSelected="1" topLeftCell="F12" zoomScale="106" zoomScaleNormal="106" workbookViewId="0">
      <selection activeCell="L22" sqref="L22"/>
    </sheetView>
  </sheetViews>
  <sheetFormatPr defaultColWidth="11.42578125" defaultRowHeight="14.45"/>
  <cols>
    <col min="1" max="1" width="23.85546875" style="1" bestFit="1" customWidth="1"/>
    <col min="2" max="2" width="24.42578125" style="1" customWidth="1"/>
    <col min="3" max="3" width="18.85546875" style="1" bestFit="1" customWidth="1"/>
    <col min="4" max="4" width="22.7109375" style="1" customWidth="1"/>
    <col min="5" max="6" width="18.85546875" style="1" customWidth="1"/>
    <col min="7" max="7" width="17.5703125" style="1" customWidth="1"/>
    <col min="8" max="8" width="15.28515625" style="1" bestFit="1" customWidth="1"/>
    <col min="9" max="9" width="25.42578125" style="1" customWidth="1"/>
    <col min="10" max="10" width="28.5703125" style="1" bestFit="1" customWidth="1"/>
    <col min="11" max="11" width="20.140625" style="1" bestFit="1" customWidth="1"/>
    <col min="12" max="12" width="38" style="1" customWidth="1"/>
    <col min="13" max="13" width="46.28515625" style="1" customWidth="1"/>
    <col min="14" max="14" width="19.28515625" style="1" bestFit="1" customWidth="1"/>
    <col min="15" max="15" width="132.5703125" style="1" bestFit="1" customWidth="1"/>
    <col min="16" max="16" width="46.42578125" style="1" bestFit="1" customWidth="1"/>
    <col min="17" max="17" width="50.140625" style="1" bestFit="1" customWidth="1"/>
    <col min="18" max="18" width="66.85546875" style="1" bestFit="1" customWidth="1"/>
    <col min="19" max="19" width="52.28515625" style="1" bestFit="1" customWidth="1"/>
    <col min="20" max="16384" width="11.42578125" style="1"/>
  </cols>
  <sheetData>
    <row r="1" spans="1:14">
      <c r="A1" s="352" t="s">
        <v>67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spans="1:14">
      <c r="A2" s="7" t="s">
        <v>68</v>
      </c>
      <c r="B2" s="353" t="str">
        <f>'Listado Objetos de Dominio'!$A$20</f>
        <v>Vuelo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5"/>
    </row>
    <row r="3" spans="1:14" ht="15.75" customHeight="1">
      <c r="A3" s="8" t="s">
        <v>69</v>
      </c>
      <c r="B3" s="355" t="str">
        <f>'Listado Objetos de Dominio'!$B$20</f>
        <v xml:space="preserve">Objeto de dominio que representa el viaje realizado en un avion por una aerolinea </v>
      </c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6"/>
    </row>
    <row r="4" spans="1:14" ht="22.5" customHeight="1">
      <c r="A4" s="10" t="s">
        <v>70</v>
      </c>
      <c r="B4" s="357" t="s">
        <v>71</v>
      </c>
      <c r="C4" s="357"/>
      <c r="D4" s="18" t="s">
        <v>72</v>
      </c>
      <c r="E4" s="365" t="s">
        <v>73</v>
      </c>
      <c r="F4" s="365"/>
      <c r="G4" s="366" t="s">
        <v>74</v>
      </c>
      <c r="H4" s="366"/>
      <c r="I4" s="12" t="s">
        <v>75</v>
      </c>
      <c r="J4" s="13" t="s">
        <v>76</v>
      </c>
      <c r="K4" s="15" t="s">
        <v>77</v>
      </c>
      <c r="L4" s="367" t="s">
        <v>78</v>
      </c>
      <c r="M4" s="369" t="s">
        <v>79</v>
      </c>
      <c r="N4" s="6"/>
    </row>
    <row r="5" spans="1:14">
      <c r="A5" s="358" t="s">
        <v>70</v>
      </c>
      <c r="B5" s="357" t="s">
        <v>80</v>
      </c>
      <c r="C5" s="357" t="s">
        <v>3</v>
      </c>
      <c r="D5" s="384" t="s">
        <v>81</v>
      </c>
      <c r="E5" s="365" t="s">
        <v>82</v>
      </c>
      <c r="F5" s="365"/>
      <c r="G5" s="377" t="s">
        <v>83</v>
      </c>
      <c r="H5" s="377"/>
      <c r="I5" s="361" t="s">
        <v>84</v>
      </c>
      <c r="J5" s="363" t="s">
        <v>85</v>
      </c>
      <c r="K5" s="371" t="s">
        <v>86</v>
      </c>
      <c r="L5" s="367"/>
      <c r="M5" s="369"/>
    </row>
    <row r="6" spans="1:14" ht="15">
      <c r="A6" s="359"/>
      <c r="B6" s="360"/>
      <c r="C6" s="360"/>
      <c r="D6" s="384"/>
      <c r="E6" s="35" t="s">
        <v>87</v>
      </c>
      <c r="F6" s="35" t="s">
        <v>3</v>
      </c>
      <c r="G6" s="49" t="s">
        <v>88</v>
      </c>
      <c r="H6" s="54" t="s">
        <v>3</v>
      </c>
      <c r="I6" s="362"/>
      <c r="J6" s="364"/>
      <c r="K6" s="372"/>
      <c r="L6" s="368"/>
      <c r="M6" s="370"/>
    </row>
    <row r="7" spans="1:14" ht="143.25" customHeight="1">
      <c r="A7" s="373" t="s">
        <v>89</v>
      </c>
      <c r="B7" s="433" t="s">
        <v>426</v>
      </c>
      <c r="C7" s="422" t="s">
        <v>427</v>
      </c>
      <c r="D7" s="373" t="s">
        <v>42</v>
      </c>
      <c r="E7" s="381" t="s">
        <v>428</v>
      </c>
      <c r="F7" s="381" t="s">
        <v>429</v>
      </c>
      <c r="G7" s="381" t="s">
        <v>430</v>
      </c>
      <c r="H7" s="381" t="s">
        <v>94</v>
      </c>
      <c r="I7" s="381"/>
      <c r="J7" s="381" t="s">
        <v>431</v>
      </c>
      <c r="K7" s="373"/>
      <c r="L7" s="189" t="s">
        <v>432</v>
      </c>
      <c r="M7" s="189" t="s">
        <v>433</v>
      </c>
    </row>
    <row r="8" spans="1:14" ht="21.75" customHeight="1">
      <c r="A8" s="374"/>
      <c r="B8" s="433"/>
      <c r="C8" s="436"/>
      <c r="D8" s="374"/>
      <c r="E8" s="382"/>
      <c r="F8" s="382"/>
      <c r="G8" s="382"/>
      <c r="H8" s="382"/>
      <c r="I8" s="382"/>
      <c r="J8" s="382"/>
      <c r="K8" s="374"/>
      <c r="L8" s="208" t="s">
        <v>434</v>
      </c>
      <c r="M8" s="130" t="s">
        <v>435</v>
      </c>
    </row>
    <row r="9" spans="1:14" ht="20.25" customHeight="1">
      <c r="A9" s="375"/>
      <c r="B9" s="434"/>
      <c r="C9" s="423"/>
      <c r="D9" s="375"/>
      <c r="E9" s="383"/>
      <c r="F9" s="383"/>
      <c r="G9" s="383"/>
      <c r="H9" s="383"/>
      <c r="I9" s="383"/>
      <c r="J9" s="383"/>
      <c r="K9" s="375"/>
      <c r="L9" s="130" t="s">
        <v>436</v>
      </c>
      <c r="M9" s="133" t="s">
        <v>436</v>
      </c>
    </row>
    <row r="10" spans="1:14" ht="94.5" customHeight="1">
      <c r="A10" s="373" t="s">
        <v>89</v>
      </c>
      <c r="B10" s="435" t="s">
        <v>437</v>
      </c>
      <c r="C10" s="381" t="s">
        <v>438</v>
      </c>
      <c r="D10" s="373" t="s">
        <v>42</v>
      </c>
      <c r="E10" s="381" t="s">
        <v>428</v>
      </c>
      <c r="F10" s="381" t="s">
        <v>429</v>
      </c>
      <c r="G10" s="144" t="s">
        <v>439</v>
      </c>
      <c r="H10" s="68" t="s">
        <v>440</v>
      </c>
      <c r="I10" s="70"/>
      <c r="J10" s="208"/>
      <c r="K10" s="161"/>
      <c r="L10" s="172" t="s">
        <v>431</v>
      </c>
      <c r="M10" s="161" t="s">
        <v>441</v>
      </c>
    </row>
    <row r="11" spans="1:14" ht="100.5" customHeight="1">
      <c r="A11" s="374"/>
      <c r="B11" s="433"/>
      <c r="C11" s="382"/>
      <c r="D11" s="374"/>
      <c r="E11" s="382"/>
      <c r="F11" s="382"/>
      <c r="G11" s="191" t="s">
        <v>442</v>
      </c>
      <c r="H11" s="115" t="s">
        <v>443</v>
      </c>
      <c r="I11" s="69"/>
      <c r="J11" s="172" t="s">
        <v>434</v>
      </c>
      <c r="K11" s="139"/>
      <c r="L11" s="208" t="s">
        <v>432</v>
      </c>
      <c r="M11" s="161" t="s">
        <v>436</v>
      </c>
    </row>
    <row r="12" spans="1:14" ht="133.5" customHeight="1">
      <c r="A12" s="375"/>
      <c r="B12" s="434"/>
      <c r="C12" s="383"/>
      <c r="D12" s="375"/>
      <c r="E12" s="383"/>
      <c r="F12" s="383"/>
      <c r="G12" s="142" t="s">
        <v>444</v>
      </c>
      <c r="H12" s="68" t="s">
        <v>109</v>
      </c>
      <c r="I12" s="141"/>
      <c r="J12" s="191"/>
      <c r="K12" s="138"/>
      <c r="L12" s="172"/>
      <c r="M12" s="138"/>
    </row>
    <row r="13" spans="1:14" ht="54.75" customHeight="1">
      <c r="A13" s="373" t="s">
        <v>89</v>
      </c>
      <c r="B13" s="435" t="s">
        <v>445</v>
      </c>
      <c r="C13" s="381" t="s">
        <v>446</v>
      </c>
      <c r="D13" s="373" t="s">
        <v>42</v>
      </c>
      <c r="E13" s="381" t="s">
        <v>428</v>
      </c>
      <c r="F13" s="381" t="s">
        <v>447</v>
      </c>
      <c r="G13" s="204" t="s">
        <v>448</v>
      </c>
      <c r="H13" s="71" t="s">
        <v>449</v>
      </c>
      <c r="I13" s="142"/>
      <c r="K13" s="126"/>
      <c r="L13" s="269"/>
      <c r="M13" s="133" t="s">
        <v>450</v>
      </c>
    </row>
    <row r="14" spans="1:14" ht="99" customHeight="1">
      <c r="A14" s="374"/>
      <c r="B14" s="433"/>
      <c r="C14" s="382"/>
      <c r="D14" s="374"/>
      <c r="E14" s="382"/>
      <c r="F14" s="382"/>
      <c r="G14" s="144" t="s">
        <v>451</v>
      </c>
      <c r="H14" s="143" t="s">
        <v>443</v>
      </c>
      <c r="I14" s="142"/>
      <c r="J14" s="172" t="s">
        <v>432</v>
      </c>
      <c r="K14" s="126"/>
      <c r="L14" s="139" t="s">
        <v>431</v>
      </c>
      <c r="M14" s="189" t="s">
        <v>435</v>
      </c>
    </row>
    <row r="15" spans="1:14" ht="127.5" customHeight="1">
      <c r="A15" s="375"/>
      <c r="B15" s="434"/>
      <c r="C15" s="383"/>
      <c r="D15" s="375"/>
      <c r="E15" s="383"/>
      <c r="F15" s="383"/>
      <c r="G15" s="143" t="s">
        <v>452</v>
      </c>
      <c r="H15" s="255" t="s">
        <v>109</v>
      </c>
      <c r="I15" s="143"/>
      <c r="J15" s="191"/>
      <c r="K15" s="188"/>
      <c r="L15" s="138"/>
      <c r="M15" s="144"/>
    </row>
    <row r="16" spans="1:14" ht="15">
      <c r="A16" s="30"/>
      <c r="B16" s="30"/>
      <c r="C16" s="30"/>
      <c r="D16" s="37"/>
      <c r="E16" s="30"/>
      <c r="F16" s="30"/>
      <c r="I16" s="33"/>
      <c r="J16" s="30"/>
      <c r="K16" s="30"/>
      <c r="L16" s="31"/>
      <c r="M16" s="37"/>
    </row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</sheetData>
  <mergeCells count="40">
    <mergeCell ref="J7:J9"/>
    <mergeCell ref="K7:K9"/>
    <mergeCell ref="A7:A9"/>
    <mergeCell ref="A10:A12"/>
    <mergeCell ref="A13:A15"/>
    <mergeCell ref="B13:B15"/>
    <mergeCell ref="C13:C15"/>
    <mergeCell ref="D13:D15"/>
    <mergeCell ref="E13:E15"/>
    <mergeCell ref="F13:F15"/>
    <mergeCell ref="I5:I6"/>
    <mergeCell ref="B7:B9"/>
    <mergeCell ref="B10:B12"/>
    <mergeCell ref="C10:C12"/>
    <mergeCell ref="D10:D12"/>
    <mergeCell ref="E10:E12"/>
    <mergeCell ref="F10:F12"/>
    <mergeCell ref="C7:C9"/>
    <mergeCell ref="D7:D9"/>
    <mergeCell ref="E7:E9"/>
    <mergeCell ref="F7:F9"/>
    <mergeCell ref="G7:G9"/>
    <mergeCell ref="H7:H9"/>
    <mergeCell ref="I7:I9"/>
    <mergeCell ref="J5:J6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D5:D6"/>
    <mergeCell ref="E5:F5"/>
    <mergeCell ref="G5:H5"/>
  </mergeCells>
  <phoneticPr fontId="9" type="noConversion"/>
  <hyperlinks>
    <hyperlink ref="A1" location="'Objetos de Dominio'!A1" display="Volver al inicio" xr:uid="{27BBD1BF-9C76-4105-A571-3B578631A0DC}"/>
    <hyperlink ref="A1:N1" location="'Listado Objetos de Dominio'!A1" display="&lt;-Volver al inicio" xr:uid="{72F02159-CF73-4963-89A3-BCADD09742B7}"/>
    <hyperlink ref="D1" location="'Listado Objetos de Dominio'!A1" display="&lt;-Volver al inicio" xr:uid="{48992924-9C63-44F2-841D-9EDBE0C35066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6724C681-8A04-4D66-BB1C-57F7466573C0}"/>
</file>

<file path=customXml/itemProps3.xml><?xml version="1.0" encoding="utf-8"?>
<ds:datastoreItem xmlns:ds="http://schemas.openxmlformats.org/officeDocument/2006/customXml" ds:itemID="{65631598-3708-4275-AFFA-3EF967BF814E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Emmanuel Londono Gomez</cp:lastModifiedBy>
  <cp:revision/>
  <dcterms:created xsi:type="dcterms:W3CDTF">2023-03-15T04:00:09Z</dcterms:created>
  <dcterms:modified xsi:type="dcterms:W3CDTF">2026-01-19T16:59:51Z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0x010100CA76DB0C4120924AA26C4287891F496A</vt:lpwstr>
  </property>
  <property fmtid="{D5CDD505-2E9C-101B-9397-08002B2CF9AE}" pid="12" name="MediaServiceImageTags">
    <vt:lpwstr/>
  </property>
</Properties>
</file>